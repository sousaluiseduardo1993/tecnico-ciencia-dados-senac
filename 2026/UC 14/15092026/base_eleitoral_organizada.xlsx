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54613f489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5996225f2e904860"/>
    <x:sheet xmlns:r="http://schemas.openxmlformats.org/officeDocument/2006/relationships" name="Resumo" sheetId="2" r:id="R7df106877c094a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bf6d6fcf64eb0" /><Relationship Type="http://schemas.openxmlformats.org/officeDocument/2006/relationships/theme" Target="/xl/theme/theme1.xml" Id="R5b27137469dc4652" /><Relationship Type="http://schemas.openxmlformats.org/officeDocument/2006/relationships/sharedStrings" Target="/xl/sharedStrings.xml" Id="Rd1bcebf8ec954268" /><Relationship Type="http://schemas.openxmlformats.org/officeDocument/2006/relationships/worksheet" Target="/xl/worksheets/sheet1.xml" Id="R5996225f2e904860" /><Relationship Type="http://schemas.openxmlformats.org/officeDocument/2006/relationships/worksheet" Target="/xl/worksheets/sheet2.xml" Id="R7df106877c094a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fb577eab2e43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Totais por candidato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Total</c:v>
          </c:tx>
          <c:cat>
            <c:strRef>
              <c:f>'Resumo'!$A$4:$A$8</c:f>
              <c:strCache>
                <c:ptCount val="0"/>
              </c:strCache>
            </c:strRef>
          </c:cat>
          <c:val>
            <c:numRef>
              <c:f>'Resumo'!$B$4:$B$8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fb577eab2e43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dosRegioes" displayName="DadosRegioes" ref="A1:G28" headerRowCount="1" totalsRowCount="0" totalsRowShown="0">
  <x:tableColumns count="7">
    <x:tableColumn id="1" name="Region"/>
    <x:tableColumn id="2" name="Luiz Inácio Lula da Silva"/>
    <x:tableColumn id="3" name="Flávio Bolsonaro"/>
    <x:tableColumn id="4" name="Augusto Cury"/>
    <x:tableColumn id="5" name="Renan Santos"/>
    <x:tableColumn id="6" name="Ronaldo Caiado"/>
    <x:tableColumn id="7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2700581b6746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eb889ba2c494c1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2" hidden="0" customWidth="1"/>
  </x:cols>
  <x:sheetData>
    <x:row r="1">
      <x:c r="A1" s="6" t="str">
        <x:v>Region</x:v>
      </x:c>
      <x:c r="B1" s="6" t="str">
        <x:v>Luiz Inácio Lula da Silva</x:v>
      </x:c>
      <x:c r="C1" s="6" t="str">
        <x:v>Flávio Bolsonaro</x:v>
      </x:c>
      <x:c r="D1" s="6" t="str">
        <x:v>Augusto Cury</x:v>
      </x:c>
      <x:c r="E1" s="6" t="str">
        <x:v>Renan Santos</x:v>
      </x:c>
      <x:c r="F1" s="6" t="str">
        <x:v>Ronaldo Caiado</x:v>
      </x:c>
      <x:c r="G1" s="6" t="str">
        <x:v>Total</x:v>
      </x:c>
    </x:row>
    <x:row r="2">
      <x:c r="A2" s="14" t="str">
        <x:v>State of Mato Grosso</x:v>
      </x:c>
      <x:c r="B2" s="12" t="n">
        <x:v>53</x:v>
      </x:c>
      <x:c r="C2" s="12" t="n">
        <x:v>27</x:v>
      </x:c>
      <x:c r="D2" s="12" t="n">
        <x:v>9</x:v>
      </x:c>
      <x:c r="E2" s="12" t="n">
        <x:v>8</x:v>
      </x:c>
      <x:c r="F2" s="12" t="n">
        <x:v>3</x:v>
      </x:c>
      <x:c r="G2" s="12" t="n">
        <x:v>100</x:v>
      </x:c>
    </x:row>
    <x:row r="3">
      <x:c r="A3" s="14" t="str">
        <x:v>State of Ceará</x:v>
      </x:c>
      <x:c r="B3" s="12" t="n">
        <x:v>53</x:v>
      </x:c>
      <x:c r="C3" s="12" t="n">
        <x:v>24</x:v>
      </x:c>
      <x:c r="D3" s="12" t="n">
        <x:v>12</x:v>
      </x:c>
      <x:c r="E3" s="12" t="n">
        <x:v>8</x:v>
      </x:c>
      <x:c r="F3" s="12" t="n">
        <x:v>3</x:v>
      </x:c>
      <x:c r="G3" s="12" t="n">
        <x:v>100</x:v>
      </x:c>
    </x:row>
    <x:row r="4">
      <x:c r="A4" s="14" t="str">
        <x:v>State of Rio Grande do Norte</x:v>
      </x:c>
      <x:c r="B4" s="12" t="n">
        <x:v>53</x:v>
      </x:c>
      <x:c r="C4" s="12" t="n">
        <x:v>24</x:v>
      </x:c>
      <x:c r="D4" s="12" t="n">
        <x:v>12</x:v>
      </x:c>
      <x:c r="E4" s="12" t="n">
        <x:v>8</x:v>
      </x:c>
      <x:c r="F4" s="12" t="n">
        <x:v>3</x:v>
      </x:c>
      <x:c r="G4" s="12" t="n">
        <x:v>100</x:v>
      </x:c>
    </x:row>
    <x:row r="5">
      <x:c r="A5" s="14" t="str">
        <x:v>State of Bahia</x:v>
      </x:c>
      <x:c r="B5" s="12" t="n">
        <x:v>52</x:v>
      </x:c>
      <x:c r="C5" s="12" t="n">
        <x:v>27</x:v>
      </x:c>
      <x:c r="D5" s="12" t="n">
        <x:v>11</x:v>
      </x:c>
      <x:c r="E5" s="12" t="n">
        <x:v>7</x:v>
      </x:c>
      <x:c r="F5" s="12" t="n">
        <x:v>3</x:v>
      </x:c>
      <x:c r="G5" s="12" t="n">
        <x:v>100</x:v>
      </x:c>
    </x:row>
    <x:row r="6">
      <x:c r="A6" s="14" t="str">
        <x:v>State of Piauí</x:v>
      </x:c>
      <x:c r="B6" s="12" t="n">
        <x:v>52</x:v>
      </x:c>
      <x:c r="C6" s="12" t="n">
        <x:v>27</x:v>
      </x:c>
      <x:c r="D6" s="12" t="n">
        <x:v>11</x:v>
      </x:c>
      <x:c r="E6" s="12" t="n">
        <x:v>7</x:v>
      </x:c>
      <x:c r="F6" s="12" t="n">
        <x:v>3</x:v>
      </x:c>
      <x:c r="G6" s="12" t="n">
        <x:v>100</x:v>
      </x:c>
    </x:row>
    <x:row r="7">
      <x:c r="A7" s="14" t="str">
        <x:v>State of Maranhão</x:v>
      </x:c>
      <x:c r="B7" s="12" t="n">
        <x:v>52</x:v>
      </x:c>
      <x:c r="C7" s="12" t="n">
        <x:v>26</x:v>
      </x:c>
      <x:c r="D7" s="12" t="n">
        <x:v>12</x:v>
      </x:c>
      <x:c r="E7" s="12" t="n">
        <x:v>7</x:v>
      </x:c>
      <x:c r="F7" s="12" t="n">
        <x:v>3</x:v>
      </x:c>
      <x:c r="G7" s="12" t="n">
        <x:v>100</x:v>
      </x:c>
    </x:row>
    <x:row r="8">
      <x:c r="A8" s="14" t="str">
        <x:v>State of Pernambuco</x:v>
      </x:c>
      <x:c r="B8" s="12" t="n">
        <x:v>52</x:v>
      </x:c>
      <x:c r="C8" s="12" t="n">
        <x:v>26</x:v>
      </x:c>
      <x:c r="D8" s="12" t="n">
        <x:v>12</x:v>
      </x:c>
      <x:c r="E8" s="12" t="n">
        <x:v>7</x:v>
      </x:c>
      <x:c r="F8" s="12" t="n">
        <x:v>3</x:v>
      </x:c>
      <x:c r="G8" s="12" t="n">
        <x:v>100</x:v>
      </x:c>
    </x:row>
    <x:row r="9">
      <x:c r="A9" s="14" t="str">
        <x:v>State of Alagoas</x:v>
      </x:c>
      <x:c r="B9" s="12" t="n">
        <x:v>51</x:v>
      </x:c>
      <x:c r="C9" s="12" t="n">
        <x:v>27</x:v>
      </x:c>
      <x:c r="D9" s="12" t="n">
        <x:v>11</x:v>
      </x:c>
      <x:c r="E9" s="12" t="n">
        <x:v>9</x:v>
      </x:c>
      <x:c r="F9" s="12" t="n">
        <x:v>2</x:v>
      </x:c>
      <x:c r="G9" s="12" t="n">
        <x:v>100</x:v>
      </x:c>
    </x:row>
    <x:row r="10">
      <x:c r="A10" s="14" t="str">
        <x:v>State of Pará</x:v>
      </x:c>
      <x:c r="B10" s="12" t="n">
        <x:v>51</x:v>
      </x:c>
      <x:c r="C10" s="12" t="n">
        <x:v>27</x:v>
      </x:c>
      <x:c r="D10" s="12" t="n">
        <x:v>11</x:v>
      </x:c>
      <x:c r="E10" s="12" t="n">
        <x:v>8</x:v>
      </x:c>
      <x:c r="F10" s="12" t="n">
        <x:v>3</x:v>
      </x:c>
      <x:c r="G10" s="12" t="n">
        <x:v>100</x:v>
      </x:c>
    </x:row>
    <x:row r="11">
      <x:c r="A11" s="14" t="str">
        <x:v>State of Amazonas</x:v>
      </x:c>
      <x:c r="B11" s="12" t="n">
        <x:v>51</x:v>
      </x:c>
      <x:c r="C11" s="12" t="n">
        <x:v>26</x:v>
      </x:c>
      <x:c r="D11" s="12" t="n">
        <x:v>12</x:v>
      </x:c>
      <x:c r="E11" s="12" t="n">
        <x:v>8</x:v>
      </x:c>
      <x:c r="F11" s="12" t="n">
        <x:v>3</x:v>
      </x:c>
      <x:c r="G11" s="12" t="n">
        <x:v>100</x:v>
      </x:c>
    </x:row>
    <x:row r="12">
      <x:c r="A12" s="14" t="str">
        <x:v>State of Mato Grosso do Sul</x:v>
      </x:c>
      <x:c r="B12" s="12" t="n">
        <x:v>51</x:v>
      </x:c>
      <x:c r="C12" s="12" t="n">
        <x:v>26</x:v>
      </x:c>
      <x:c r="D12" s="12" t="n">
        <x:v>9</x:v>
      </x:c>
      <x:c r="E12" s="12" t="n">
        <x:v>10</x:v>
      </x:c>
      <x:c r="F12" s="12" t="n">
        <x:v>4</x:v>
      </x:c>
      <x:c r="G12" s="12" t="n">
        <x:v>100</x:v>
      </x:c>
    </x:row>
    <x:row r="13">
      <x:c r="A13" s="14" t="str">
        <x:v>State of Espírito Santo</x:v>
      </x:c>
      <x:c r="B13" s="12" t="n">
        <x:v>50</x:v>
      </x:c>
      <x:c r="C13" s="12" t="n">
        <x:v>27</x:v>
      </x:c>
      <x:c r="D13" s="12" t="n">
        <x:v>11</x:v>
      </x:c>
      <x:c r="E13" s="12" t="n">
        <x:v>9</x:v>
      </x:c>
      <x:c r="F13" s="12" t="n">
        <x:v>3</x:v>
      </x:c>
      <x:c r="G13" s="12" t="n">
        <x:v>100</x:v>
      </x:c>
    </x:row>
    <x:row r="14">
      <x:c r="A14" s="14" t="str">
        <x:v>State of Rio de Janeiro</x:v>
      </x:c>
      <x:c r="B14" s="12" t="n">
        <x:v>49</x:v>
      </x:c>
      <x:c r="C14" s="12" t="n">
        <x:v>29</x:v>
      </x:c>
      <x:c r="D14" s="12" t="n">
        <x:v>10</x:v>
      </x:c>
      <x:c r="E14" s="12" t="n">
        <x:v>9</x:v>
      </x:c>
      <x:c r="F14" s="12" t="n">
        <x:v>3</x:v>
      </x:c>
      <x:c r="G14" s="12" t="n">
        <x:v>100</x:v>
      </x:c>
    </x:row>
    <x:row r="15">
      <x:c r="A15" s="14" t="str">
        <x:v>State of Paraíba</x:v>
      </x:c>
      <x:c r="B15" s="12" t="n">
        <x:v>49</x:v>
      </x:c>
      <x:c r="C15" s="12" t="n">
        <x:v>28</x:v>
      </x:c>
      <x:c r="D15" s="12" t="n">
        <x:v>12</x:v>
      </x:c>
      <x:c r="E15" s="12" t="n">
        <x:v>8</x:v>
      </x:c>
      <x:c r="F15" s="12" t="n">
        <x:v>3</x:v>
      </x:c>
      <x:c r="G15" s="12" t="n">
        <x:v>100</x:v>
      </x:c>
    </x:row>
    <x:row r="16">
      <x:c r="A16" s="14" t="str">
        <x:v>State of Minas Gerais</x:v>
      </x:c>
      <x:c r="B16" s="12" t="n">
        <x:v>49</x:v>
      </x:c>
      <x:c r="C16" s="12" t="n">
        <x:v>27</x:v>
      </x:c>
      <x:c r="D16" s="12" t="n">
        <x:v>11</x:v>
      </x:c>
      <x:c r="E16" s="12" t="n">
        <x:v>9</x:v>
      </x:c>
      <x:c r="F16" s="12" t="n">
        <x:v>4</x:v>
      </x:c>
      <x:c r="G16" s="12" t="n">
        <x:v>100</x:v>
      </x:c>
    </x:row>
    <x:row r="17">
      <x:c r="A17" s="14" t="str">
        <x:v>Federal District</x:v>
      </x:c>
      <x:c r="B17" s="12" t="n">
        <x:v>49</x:v>
      </x:c>
      <x:c r="C17" s="12" t="n">
        <x:v>27</x:v>
      </x:c>
      <x:c r="D17" s="12" t="n">
        <x:v>9</x:v>
      </x:c>
      <x:c r="E17" s="12" t="n">
        <x:v>9</x:v>
      </x:c>
      <x:c r="F17" s="12" t="n">
        <x:v>6</x:v>
      </x:c>
      <x:c r="G17" s="12" t="n">
        <x:v>100</x:v>
      </x:c>
    </x:row>
    <x:row r="18">
      <x:c r="A18" s="14" t="str">
        <x:v>State of Sergipe</x:v>
      </x:c>
      <x:c r="B18" s="12" t="n">
        <x:v>49</x:v>
      </x:c>
      <x:c r="C18" s="12" t="n">
        <x:v>26</x:v>
      </x:c>
      <x:c r="D18" s="12" t="n">
        <x:v>13</x:v>
      </x:c>
      <x:c r="E18" s="12" t="n">
        <x:v>9</x:v>
      </x:c>
      <x:c r="F18" s="12" t="n">
        <x:v>3</x:v>
      </x:c>
      <x:c r="G18" s="12" t="n">
        <x:v>100</x:v>
      </x:c>
    </x:row>
    <x:row r="19">
      <x:c r="A19" s="14" t="str">
        <x:v>State of Paraná</x:v>
      </x:c>
      <x:c r="B19" s="12" t="n">
        <x:v>49</x:v>
      </x:c>
      <x:c r="C19" s="12" t="n">
        <x:v>26</x:v>
      </x:c>
      <x:c r="D19" s="12" t="n">
        <x:v>11</x:v>
      </x:c>
      <x:c r="E19" s="12" t="n">
        <x:v>11</x:v>
      </x:c>
      <x:c r="F19" s="12" t="n">
        <x:v>3</x:v>
      </x:c>
      <x:c r="G19" s="12" t="n">
        <x:v>100</x:v>
      </x:c>
    </x:row>
    <x:row r="20">
      <x:c r="A20" s="14" t="str">
        <x:v>State of Acre</x:v>
      </x:c>
      <x:c r="B20" s="12" t="n">
        <x:v>48</x:v>
      </x:c>
      <x:c r="C20" s="12" t="n">
        <x:v>29</x:v>
      </x:c>
      <x:c r="D20" s="12" t="n">
        <x:v>13</x:v>
      </x:c>
      <x:c r="E20" s="12" t="n">
        <x:v>7</x:v>
      </x:c>
      <x:c r="F20" s="12" t="n">
        <x:v>3</x:v>
      </x:c>
      <x:c r="G20" s="12" t="n">
        <x:v>100</x:v>
      </x:c>
    </x:row>
    <x:row r="21">
      <x:c r="A21" s="14" t="str">
        <x:v>State of Amapá</x:v>
      </x:c>
      <x:c r="B21" s="12" t="n">
        <x:v>48</x:v>
      </x:c>
      <x:c r="C21" s="12" t="n">
        <x:v>25</x:v>
      </x:c>
      <x:c r="D21" s="12" t="n">
        <x:v>15</x:v>
      </x:c>
      <x:c r="E21" s="12" t="n">
        <x:v>9</x:v>
      </x:c>
      <x:c r="F21" s="12" t="n">
        <x:v>3</x:v>
      </x:c>
      <x:c r="G21" s="12" t="n">
        <x:v>100</x:v>
      </x:c>
    </x:row>
    <x:row r="22">
      <x:c r="A22" s="14" t="str">
        <x:v>State of Rio Grande do Sul</x:v>
      </x:c>
      <x:c r="B22" s="12" t="n">
        <x:v>47</x:v>
      </x:c>
      <x:c r="C22" s="12" t="n">
        <x:v>28</x:v>
      </x:c>
      <x:c r="D22" s="12" t="n">
        <x:v>11</x:v>
      </x:c>
      <x:c r="E22" s="12" t="n">
        <x:v>10</x:v>
      </x:c>
      <x:c r="F22" s="12" t="n">
        <x:v>4</x:v>
      </x:c>
      <x:c r="G22" s="12" t="n">
        <x:v>100</x:v>
      </x:c>
    </x:row>
    <x:row r="23">
      <x:c r="A23" s="14" t="str">
        <x:v>State of São Paulo</x:v>
      </x:c>
      <x:c r="B23" s="12" t="n">
        <x:v>47</x:v>
      </x:c>
      <x:c r="C23" s="12" t="n">
        <x:v>26</x:v>
      </x:c>
      <x:c r="D23" s="12" t="n">
        <x:v>12</x:v>
      </x:c>
      <x:c r="E23" s="12" t="n">
        <x:v>11</x:v>
      </x:c>
      <x:c r="F23" s="12" t="n">
        <x:v>4</x:v>
      </x:c>
      <x:c r="G23" s="12" t="n">
        <x:v>100</x:v>
      </x:c>
    </x:row>
    <x:row r="24">
      <x:c r="A24" s="14" t="str">
        <x:v>State of Santa Catarina</x:v>
      </x:c>
      <x:c r="B24" s="12" t="n">
        <x:v>47</x:v>
      </x:c>
      <x:c r="C24" s="12" t="n">
        <x:v>25</x:v>
      </x:c>
      <x:c r="D24" s="12" t="n">
        <x:v>13</x:v>
      </x:c>
      <x:c r="E24" s="12" t="n">
        <x:v>12</x:v>
      </x:c>
      <x:c r="F24" s="12" t="n">
        <x:v>3</x:v>
      </x:c>
      <x:c r="G24" s="12" t="n">
        <x:v>100</x:v>
      </x:c>
    </x:row>
    <x:row r="25">
      <x:c r="A25" s="14" t="str">
        <x:v>State of Rondônia</x:v>
      </x:c>
      <x:c r="B25" s="12" t="n">
        <x:v>46</x:v>
      </x:c>
      <x:c r="C25" s="12" t="n">
        <x:v>29</x:v>
      </x:c>
      <x:c r="D25" s="12" t="n">
        <x:v>12</x:v>
      </x:c>
      <x:c r="E25" s="12" t="n">
        <x:v>10</x:v>
      </x:c>
      <x:c r="F25" s="12" t="n">
        <x:v>3</x:v>
      </x:c>
      <x:c r="G25" s="12" t="n">
        <x:v>100</x:v>
      </x:c>
    </x:row>
    <x:row r="26">
      <x:c r="A26" s="14" t="str">
        <x:v>State of Tocantins</x:v>
      </x:c>
      <x:c r="B26" s="12" t="n">
        <x:v>46</x:v>
      </x:c>
      <x:c r="C26" s="12" t="n">
        <x:v>28</x:v>
      </x:c>
      <x:c r="D26" s="12" t="n">
        <x:v>13</x:v>
      </x:c>
      <x:c r="E26" s="12" t="n">
        <x:v>8</x:v>
      </x:c>
      <x:c r="F26" s="12" t="n">
        <x:v>5</x:v>
      </x:c>
      <x:c r="G26" s="12" t="n">
        <x:v>100</x:v>
      </x:c>
    </x:row>
    <x:row r="27">
      <x:c r="A27" s="14" t="str">
        <x:v>State of Goiás</x:v>
      </x:c>
      <x:c r="B27" s="12" t="n">
        <x:v>46</x:v>
      </x:c>
      <x:c r="C27" s="12" t="n">
        <x:v>27</x:v>
      </x:c>
      <x:c r="D27" s="12" t="n">
        <x:v>9</x:v>
      </x:c>
      <x:c r="E27" s="12" t="n">
        <x:v>7</x:v>
      </x:c>
      <x:c r="F27" s="12" t="n">
        <x:v>11</x:v>
      </x:c>
      <x:c r="G27" s="12" t="n">
        <x:v>100</x:v>
      </x:c>
    </x:row>
    <x:row r="28">
      <x:c r="A28" s="14" t="str">
        <x:v>State of Roraima</x:v>
      </x:c>
      <x:c r="B28" s="12" t="n">
        <x:v>45</x:v>
      </x:c>
      <x:c r="C28" s="12" t="n">
        <x:v>30</x:v>
      </x:c>
      <x:c r="D28" s="12" t="n">
        <x:v>13</x:v>
      </x:c>
      <x:c r="E28" s="12" t="n">
        <x:v>9</x:v>
      </x:c>
      <x:c r="F28" s="12" t="n">
        <x:v>3</x:v>
      </x:c>
      <x:c r="G28" s="12" t="n">
        <x:v>100</x:v>
      </x:c>
    </x:row>
  </x:sheetData>
  <x:conditionalFormatting sqref="B2:F28">
    <x:cfRule type="colorScale" priority="1">
      <x:colorScale>
        <x:cfvo type="min"/>
        <x:cfvo type="percentile" val="50"/>
        <x:cfvo type="max"/>
        <x:color rgb="FFFCE4D6"/>
        <x:color rgb="FFFFF2CC"/>
        <x:color rgb="FF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e2700581b6746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4" max="4" width="2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10" max="10" width="28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3" max="3" width="22" hidden="0" customWidth="1"/>
  </x:cols>
  <x:sheetData>
    <x:row r="1">
      <x:c r="A1" s="18" t="str">
        <x:v>RESUMO DA BASE POR REGIÃO</x:v>
      </x:c>
      <x:c r="B1" s="18"/>
      <x:c r="C1" s="18"/>
      <x:c r="D1" s="18"/>
      <x:c r="E1" s="18"/>
      <x:c r="F1" s="18"/>
    </x:row>
    <x:row r="3">
      <x:c r="A3" s="6" t="str">
        <x:v>Candidato</x:v>
      </x:c>
      <x:c r="B3" s="6" t="str">
        <x:v>Total</x:v>
      </x:c>
      <x:c r="C3" s="14"/>
      <x:c r="D3" s="6" t="str">
        <x:v>Região</x:v>
      </x:c>
      <x:c r="E3" s="6" t="str">
        <x:v>Luiz Inácio Lula da Silva</x:v>
      </x:c>
      <x:c r="F3" s="6" t="str">
        <x:v>Flávio Bolsonaro</x:v>
      </x:c>
      <x:c r="G3" s="6" t="str">
        <x:v>Augusto Cury</x:v>
      </x:c>
      <x:c r="H3" s="6" t="str">
        <x:v>Maior valor</x:v>
      </x:c>
      <x:c r="I3" s="14"/>
      <x:c r="J3" s="6" t="str">
        <x:v>Região</x:v>
      </x:c>
      <x:c r="K3" s="6" t="str">
        <x:v>Luiz Inácio Lula da Silva</x:v>
      </x:c>
      <x:c r="L3" s="6" t="str">
        <x:v>Flávio Bolsonaro</x:v>
      </x:c>
      <x:c r="M3" s="6" t="str">
        <x:v>Augusto Cury</x:v>
      </x:c>
      <x:c r="N3" s="6" t="str">
        <x:v>Renan Santos</x:v>
      </x:c>
      <x:c r="O3" s="6" t="str">
        <x:v>Ronaldo Caiado</x:v>
      </x:c>
      <x:c r="P3" s="6" t="str">
        <x:v>Total</x:v>
      </x:c>
    </x:row>
    <x:row r="4">
      <x:c r="A4" s="14" t="str">
        <x:v>Luiz Inácio Lula da Silva</x:v>
      </x:c>
      <x:c r="B4" s="22" t="n">
        <x:f>SUM(Dados!B2:B28)</x:f>
        <x:v>1335</x:v>
      </x:c>
      <x:c r="C4" s="14"/>
      <x:c r="D4" s="14" t="str">
        <x:v>State of Mato Grosso</x:v>
      </x:c>
      <x:c r="E4" s="22" t="n">
        <x:v>53</x:v>
      </x:c>
      <x:c r="F4" s="22" t="n">
        <x:v>27</x:v>
      </x:c>
      <x:c r="G4" s="22" t="n">
        <x:v>9</x:v>
      </x:c>
      <x:c r="H4" s="22" t="n">
        <x:f>MAX(E4:G4)</x:f>
        <x:v>53</x:v>
      </x:c>
      <x:c r="I4" s="14"/>
      <x:c r="J4" s="14" t="str">
        <x:v>State of Mato Grosso</x:v>
      </x:c>
      <x:c r="K4" s="22" t="n">
        <x:v>53</x:v>
      </x:c>
      <x:c r="L4" s="22" t="n">
        <x:v>27</x:v>
      </x:c>
      <x:c r="M4" s="22" t="n">
        <x:v>9</x:v>
      </x:c>
      <x:c r="N4" s="22" t="n">
        <x:v>8</x:v>
      </x:c>
      <x:c r="O4" s="22" t="n">
        <x:v>3</x:v>
      </x:c>
      <x:c r="P4" s="22" t="n">
        <x:f>SUM(K4:O4)</x:f>
        <x:v>100</x:v>
      </x:c>
    </x:row>
    <x:row r="5">
      <x:c r="A5" s="14" t="str">
        <x:v>Flávio Bolsonaro</x:v>
      </x:c>
      <x:c r="B5" s="22" t="n">
        <x:f>SUM(Dados!C2:C28)</x:f>
        <x:v>724</x:v>
      </x:c>
      <x:c r="C5" s="14"/>
      <x:c r="D5" s="14" t="str">
        <x:v>State of Ceará</x:v>
      </x:c>
      <x:c r="E5" s="22" t="n">
        <x:v>53</x:v>
      </x:c>
      <x:c r="F5" s="22" t="n">
        <x:v>24</x:v>
      </x:c>
      <x:c r="G5" s="22" t="n">
        <x:v>12</x:v>
      </x:c>
      <x:c r="H5" s="22" t="n">
        <x:f>MAX(E5:G5)</x:f>
        <x:v>53</x:v>
      </x:c>
      <x:c r="I5" s="14"/>
      <x:c r="J5" s="14" t="str">
        <x:v>State of Ceará</x:v>
      </x:c>
      <x:c r="K5" s="22" t="n">
        <x:v>53</x:v>
      </x:c>
      <x:c r="L5" s="22" t="n">
        <x:v>24</x:v>
      </x:c>
      <x:c r="M5" s="22" t="n">
        <x:v>12</x:v>
      </x:c>
      <x:c r="N5" s="22" t="n">
        <x:v>8</x:v>
      </x:c>
      <x:c r="O5" s="22" t="n">
        <x:v>3</x:v>
      </x:c>
      <x:c r="P5" s="22" t="n">
        <x:f>SUM(K5:O5)</x:f>
        <x:v>100</x:v>
      </x:c>
    </x:row>
    <x:row r="6">
      <x:c r="A6" s="14" t="str">
        <x:v>Augusto Cury</x:v>
      </x:c>
      <x:c r="B6" s="22" t="n">
        <x:f>SUM(Dados!D2:D28)</x:f>
        <x:v>310</x:v>
      </x:c>
      <x:c r="C6" s="14"/>
      <x:c r="D6" s="14" t="str">
        <x:v>State of Rio Grande do Norte</x:v>
      </x:c>
      <x:c r="E6" s="22" t="n">
        <x:v>53</x:v>
      </x:c>
      <x:c r="F6" s="22" t="n">
        <x:v>24</x:v>
      </x:c>
      <x:c r="G6" s="22" t="n">
        <x:v>12</x:v>
      </x:c>
      <x:c r="H6" s="22" t="n">
        <x:f>MAX(E6:G6)</x:f>
        <x:v>53</x:v>
      </x:c>
      <x:c r="I6" s="14"/>
      <x:c r="J6" s="14" t="str">
        <x:v>State of Rio Grande do Norte</x:v>
      </x:c>
      <x:c r="K6" s="22" t="n">
        <x:v>53</x:v>
      </x:c>
      <x:c r="L6" s="22" t="n">
        <x:v>24</x:v>
      </x:c>
      <x:c r="M6" s="22" t="n">
        <x:v>12</x:v>
      </x:c>
      <x:c r="N6" s="22" t="n">
        <x:v>8</x:v>
      </x:c>
      <x:c r="O6" s="22" t="n">
        <x:v>3</x:v>
      </x:c>
      <x:c r="P6" s="22" t="n">
        <x:f>SUM(K6:O6)</x:f>
        <x:v>100</x:v>
      </x:c>
    </x:row>
    <x:row r="7">
      <x:c r="A7" s="14" t="str">
        <x:v>Renan Santos</x:v>
      </x:c>
      <x:c r="B7" s="22" t="n">
        <x:f>SUM(Dados!E2:E28)</x:f>
        <x:v>234</x:v>
      </x:c>
      <x:c r="C7" s="14"/>
      <x:c r="D7" s="14" t="str">
        <x:v>State of Bahia</x:v>
      </x:c>
      <x:c r="E7" s="22" t="n">
        <x:v>52</x:v>
      </x:c>
      <x:c r="F7" s="22" t="n">
        <x:v>27</x:v>
      </x:c>
      <x:c r="G7" s="22" t="n">
        <x:v>11</x:v>
      </x:c>
      <x:c r="H7" s="22" t="n">
        <x:f>MAX(E7:G7)</x:f>
        <x:v>52</x:v>
      </x:c>
      <x:c r="I7" s="14"/>
      <x:c r="J7" s="14" t="str">
        <x:v>State of Bahia</x:v>
      </x:c>
      <x:c r="K7" s="22" t="n">
        <x:v>52</x:v>
      </x:c>
      <x:c r="L7" s="22" t="n">
        <x:v>27</x:v>
      </x:c>
      <x:c r="M7" s="22" t="n">
        <x:v>11</x:v>
      </x:c>
      <x:c r="N7" s="22" t="n">
        <x:v>7</x:v>
      </x:c>
      <x:c r="O7" s="22" t="n">
        <x:v>3</x:v>
      </x:c>
      <x:c r="P7" s="22" t="n">
        <x:f>SUM(K7:O7)</x:f>
        <x:v>100</x:v>
      </x:c>
    </x:row>
    <x:row r="8">
      <x:c r="A8" s="14" t="str">
        <x:v>Ronaldo Caiado</x:v>
      </x:c>
      <x:c r="B8" s="22" t="n">
        <x:f>SUM(Dados!F2:F28)</x:f>
        <x:v>97</x:v>
      </x:c>
      <x:c r="C8" s="14"/>
      <x:c r="D8" s="14" t="str">
        <x:v>State of Piauí</x:v>
      </x:c>
      <x:c r="E8" s="22" t="n">
        <x:v>52</x:v>
      </x:c>
      <x:c r="F8" s="22" t="n">
        <x:v>27</x:v>
      </x:c>
      <x:c r="G8" s="22" t="n">
        <x:v>11</x:v>
      </x:c>
      <x:c r="H8" s="22" t="n">
        <x:f>MAX(E8:G8)</x:f>
        <x:v>52</x:v>
      </x:c>
      <x:c r="I8" s="14"/>
      <x:c r="J8" s="14" t="str">
        <x:v>State of Piauí</x:v>
      </x:c>
      <x:c r="K8" s="22" t="n">
        <x:v>52</x:v>
      </x:c>
      <x:c r="L8" s="22" t="n">
        <x:v>27</x:v>
      </x:c>
      <x:c r="M8" s="22" t="n">
        <x:v>11</x:v>
      </x:c>
      <x:c r="N8" s="22" t="n">
        <x:v>7</x:v>
      </x:c>
      <x:c r="O8" s="22" t="n">
        <x:v>3</x:v>
      </x:c>
      <x:c r="P8" s="22" t="n">
        <x:f>SUM(K8:O8)</x:f>
        <x:v>100</x:v>
      </x:c>
    </x:row>
    <x:row r="9">
      <x:c r="A9" s="14"/>
      <x:c r="B9" s="14"/>
      <x:c r="C9" s="14"/>
      <x:c r="D9" s="14" t="str">
        <x:v>State of Maranhão</x:v>
      </x:c>
      <x:c r="E9" s="22" t="n">
        <x:v>52</x:v>
      </x:c>
      <x:c r="F9" s="22" t="n">
        <x:v>26</x:v>
      </x:c>
      <x:c r="G9" s="22" t="n">
        <x:v>12</x:v>
      </x:c>
      <x:c r="H9" s="22" t="n">
        <x:f>MAX(E9:G9)</x:f>
        <x:v>52</x:v>
      </x:c>
      <x:c r="I9" s="14"/>
      <x:c r="J9" s="14" t="str">
        <x:v>State of Maranhão</x:v>
      </x:c>
      <x:c r="K9" s="22" t="n">
        <x:v>52</x:v>
      </x:c>
      <x:c r="L9" s="22" t="n">
        <x:v>26</x:v>
      </x:c>
      <x:c r="M9" s="22" t="n">
        <x:v>12</x:v>
      </x:c>
      <x:c r="N9" s="22" t="n">
        <x:v>7</x:v>
      </x:c>
      <x:c r="O9" s="22" t="n">
        <x:v>3</x:v>
      </x:c>
      <x:c r="P9" s="22" t="n">
        <x:f>SUM(K9:O9)</x:f>
        <x:v>100</x:v>
      </x:c>
    </x:row>
    <x:row r="10">
      <x:c r="A10" s="6" t="str">
        <x:v>Indicador</x:v>
      </x:c>
      <x:c r="B10" s="6" t="str">
        <x:v>Resultado</x:v>
      </x:c>
      <x:c r="C10" s="6" t="str">
        <x:v>Leitura</x:v>
      </x:c>
      <x:c r="D10" s="14" t="str">
        <x:v>State of Pernambuco</x:v>
      </x:c>
      <x:c r="E10" s="22" t="n">
        <x:v>52</x:v>
      </x:c>
      <x:c r="F10" s="22" t="n">
        <x:v>26</x:v>
      </x:c>
      <x:c r="G10" s="22" t="n">
        <x:v>12</x:v>
      </x:c>
      <x:c r="H10" s="22" t="n">
        <x:f>MAX(E10:G10)</x:f>
        <x:v>52</x:v>
      </x:c>
      <x:c r="I10" s="14"/>
      <x:c r="J10" s="14" t="str">
        <x:v>State of Pernambuco</x:v>
      </x:c>
      <x:c r="K10" s="22" t="n">
        <x:v>52</x:v>
      </x:c>
      <x:c r="L10" s="22" t="n">
        <x:v>26</x:v>
      </x:c>
      <x:c r="M10" s="22" t="n">
        <x:v>12</x:v>
      </x:c>
      <x:c r="N10" s="22" t="n">
        <x:v>7</x:v>
      </x:c>
      <x:c r="O10" s="22" t="n">
        <x:v>3</x:v>
      </x:c>
      <x:c r="P10" s="22" t="n">
        <x:f>SUM(K10:O10)</x:f>
        <x:v>100</x:v>
      </x:c>
    </x:row>
    <x:row r="11">
      <x:c r="A11" s="14" t="str">
        <x:v>Regiões analisadas</x:v>
      </x:c>
      <x:c r="B11" s="14" t="n">
        <x:v>27</x:v>
      </x:c>
      <x:c r="C11" s="14" t="str">
        <x:v>Base completa</x:v>
      </x:c>
      <x:c r="D11" s="14" t="str">
        <x:v>State of Alagoas</x:v>
      </x:c>
      <x:c r="E11" s="22" t="n">
        <x:v>51</x:v>
      </x:c>
      <x:c r="F11" s="22" t="n">
        <x:v>27</x:v>
      </x:c>
      <x:c r="G11" s="22" t="n">
        <x:v>11</x:v>
      </x:c>
      <x:c r="H11" s="22" t="n">
        <x:f>MAX(E11:G11)</x:f>
        <x:v>51</x:v>
      </x:c>
      <x:c r="I11" s="14"/>
      <x:c r="J11" s="14" t="str">
        <x:v>State of Alagoas</x:v>
      </x:c>
      <x:c r="K11" s="22" t="n">
        <x:v>51</x:v>
      </x:c>
      <x:c r="L11" s="22" t="n">
        <x:v>27</x:v>
      </x:c>
      <x:c r="M11" s="22" t="n">
        <x:v>11</x:v>
      </x:c>
      <x:c r="N11" s="22" t="n">
        <x:v>9</x:v>
      </x:c>
      <x:c r="O11" s="22" t="n">
        <x:v>2</x:v>
      </x:c>
      <x:c r="P11" s="22" t="n">
        <x:f>SUM(K11:O11)</x:f>
        <x:v>100</x:v>
      </x:c>
    </x:row>
    <x:row r="12">
      <x:c r="A12" s="14" t="str">
        <x:v>Candidatos</x:v>
      </x:c>
      <x:c r="B12" s="14" t="n">
        <x:v>5</x:v>
      </x:c>
      <x:c r="C12" s="14" t="str">
        <x:v>Cinco nomes</x:v>
      </x:c>
      <x:c r="D12" s="14" t="str">
        <x:v>State of Pará</x:v>
      </x:c>
      <x:c r="E12" s="22" t="n">
        <x:v>51</x:v>
      </x:c>
      <x:c r="F12" s="22" t="n">
        <x:v>27</x:v>
      </x:c>
      <x:c r="G12" s="22" t="n">
        <x:v>11</x:v>
      </x:c>
      <x:c r="H12" s="22" t="n">
        <x:f>MAX(E12:G12)</x:f>
        <x:v>51</x:v>
      </x:c>
      <x:c r="I12" s="14"/>
      <x:c r="J12" s="14" t="str">
        <x:v>State of Pará</x:v>
      </x:c>
      <x:c r="K12" s="22" t="n">
        <x:v>51</x:v>
      </x:c>
      <x:c r="L12" s="22" t="n">
        <x:v>27</x:v>
      </x:c>
      <x:c r="M12" s="22" t="n">
        <x:v>11</x:v>
      </x:c>
      <x:c r="N12" s="22" t="n">
        <x:v>8</x:v>
      </x:c>
      <x:c r="O12" s="22" t="n">
        <x:v>3</x:v>
      </x:c>
      <x:c r="P12" s="22" t="n">
        <x:f>SUM(K12:O12)</x:f>
        <x:v>100</x:v>
      </x:c>
    </x:row>
    <x:row r="13">
      <x:c r="A13" s="14" t="str">
        <x:v>Maior total</x:v>
      </x:c>
      <x:c r="B13" s="14" t="str">
        <x:f>INDEX(A4:A8,MATCH(MAX(B4:B8),B4:B8,0))</x:f>
        <x:v>Luiz Inácio Lula da Silva</x:v>
      </x:c>
      <x:c r="C13" s="14" t="str">
        <x:v>Candidato</x:v>
      </x:c>
      <x:c r="D13" s="14" t="str">
        <x:v>State of Amazonas</x:v>
      </x:c>
      <x:c r="E13" s="22" t="n">
        <x:v>51</x:v>
      </x:c>
      <x:c r="F13" s="22" t="n">
        <x:v>26</x:v>
      </x:c>
      <x:c r="G13" s="22" t="n">
        <x:v>12</x:v>
      </x:c>
      <x:c r="H13" s="22" t="n">
        <x:f>MAX(E13:G13)</x:f>
        <x:v>51</x:v>
      </x:c>
      <x:c r="I13" s="14"/>
      <x:c r="J13" s="14" t="str">
        <x:v>State of Amazonas</x:v>
      </x:c>
      <x:c r="K13" s="22" t="n">
        <x:v>51</x:v>
      </x:c>
      <x:c r="L13" s="22" t="n">
        <x:v>26</x:v>
      </x:c>
      <x:c r="M13" s="22" t="n">
        <x:v>12</x:v>
      </x:c>
      <x:c r="N13" s="22" t="n">
        <x:v>8</x:v>
      </x:c>
      <x:c r="O13" s="22" t="n">
        <x:v>3</x:v>
      </x:c>
      <x:c r="P13" s="22" t="n">
        <x:f>SUM(K13:O13)</x:f>
        <x:v>100</x:v>
      </x:c>
    </x:row>
    <x:row r="14">
      <x:c r="A14" s="14" t="str">
        <x:v>Menor total</x:v>
      </x:c>
      <x:c r="B14" s="14" t="str">
        <x:f>INDEX(A4:A8,MATCH(MIN(B4:B8),B4:B8,0))</x:f>
        <x:v>Ronaldo Caiado</x:v>
      </x:c>
      <x:c r="C14" s="14" t="str">
        <x:v>Candidato</x:v>
      </x:c>
      <x:c r="D14" s="14" t="str">
        <x:v>State of Mato Grosso do Sul</x:v>
      </x:c>
      <x:c r="E14" s="22" t="n">
        <x:v>51</x:v>
      </x:c>
      <x:c r="F14" s="22" t="n">
        <x:v>26</x:v>
      </x:c>
      <x:c r="G14" s="22" t="n">
        <x:v>9</x:v>
      </x:c>
      <x:c r="H14" s="22" t="n">
        <x:f>MAX(E14:G14)</x:f>
        <x:v>51</x:v>
      </x:c>
      <x:c r="I14" s="14"/>
      <x:c r="J14" s="14" t="str">
        <x:v>State of Mato Grosso do Sul</x:v>
      </x:c>
      <x:c r="K14" s="22" t="n">
        <x:v>51</x:v>
      </x:c>
      <x:c r="L14" s="22" t="n">
        <x:v>26</x:v>
      </x:c>
      <x:c r="M14" s="22" t="n">
        <x:v>9</x:v>
      </x:c>
      <x:c r="N14" s="22" t="n">
        <x:v>10</x:v>
      </x:c>
      <x:c r="O14" s="22" t="n">
        <x:v>4</x:v>
      </x:c>
      <x:c r="P14" s="22" t="n">
        <x:f>SUM(K14:O14)</x:f>
        <x:v>100</x:v>
      </x:c>
    </x:row>
    <x:row r="15">
      <x:c r="A15" s="14"/>
      <x:c r="B15" s="14"/>
      <x:c r="C15" s="14"/>
      <x:c r="D15" s="14" t="str">
        <x:v>State of Espírito Santo</x:v>
      </x:c>
      <x:c r="E15" s="22" t="n">
        <x:v>50</x:v>
      </x:c>
      <x:c r="F15" s="22" t="n">
        <x:v>27</x:v>
      </x:c>
      <x:c r="G15" s="22" t="n">
        <x:v>11</x:v>
      </x:c>
      <x:c r="H15" s="22" t="n">
        <x:f>MAX(E15:G15)</x:f>
        <x:v>50</x:v>
      </x:c>
      <x:c r="I15" s="14"/>
      <x:c r="J15" s="14" t="str">
        <x:v>State of Espírito Santo</x:v>
      </x:c>
      <x:c r="K15" s="22" t="n">
        <x:v>50</x:v>
      </x:c>
      <x:c r="L15" s="22" t="n">
        <x:v>27</x:v>
      </x:c>
      <x:c r="M15" s="22" t="n">
        <x:v>11</x:v>
      </x:c>
      <x:c r="N15" s="22" t="n">
        <x:v>9</x:v>
      </x:c>
      <x:c r="O15" s="22" t="n">
        <x:v>3</x:v>
      </x:c>
      <x:c r="P15" s="22" t="n">
        <x:f>SUM(K15:O15)</x:f>
        <x:v>100</x:v>
      </x:c>
    </x:row>
    <x:row r="16">
      <x:c r="A16" s="14"/>
      <x:c r="B16" s="14"/>
      <x:c r="C16" s="14"/>
      <x:c r="D16" s="14" t="str">
        <x:v>State of Rio de Janeiro</x:v>
      </x:c>
      <x:c r="E16" s="22" t="n">
        <x:v>49</x:v>
      </x:c>
      <x:c r="F16" s="22" t="n">
        <x:v>29</x:v>
      </x:c>
      <x:c r="G16" s="22" t="n">
        <x:v>10</x:v>
      </x:c>
      <x:c r="H16" s="22" t="n">
        <x:f>MAX(E16:G16)</x:f>
        <x:v>49</x:v>
      </x:c>
      <x:c r="I16" s="14"/>
      <x:c r="J16" s="14" t="str">
        <x:v>State of Rio de Janeiro</x:v>
      </x:c>
      <x:c r="K16" s="22" t="n">
        <x:v>49</x:v>
      </x:c>
      <x:c r="L16" s="22" t="n">
        <x:v>29</x:v>
      </x:c>
      <x:c r="M16" s="22" t="n">
        <x:v>10</x:v>
      </x:c>
      <x:c r="N16" s="22" t="n">
        <x:v>9</x:v>
      </x:c>
      <x:c r="O16" s="22" t="n">
        <x:v>3</x:v>
      </x:c>
      <x:c r="P16" s="22" t="n">
        <x:f>SUM(K16:O16)</x:f>
        <x:v>100</x:v>
      </x:c>
    </x:row>
    <x:row r="17">
      <x:c r="A17" s="14"/>
      <x:c r="B17" s="14"/>
      <x:c r="C17" s="14"/>
      <x:c r="D17" s="14" t="str">
        <x:v>State of Paraíba</x:v>
      </x:c>
      <x:c r="E17" s="22" t="n">
        <x:v>49</x:v>
      </x:c>
      <x:c r="F17" s="22" t="n">
        <x:v>28</x:v>
      </x:c>
      <x:c r="G17" s="22" t="n">
        <x:v>12</x:v>
      </x:c>
      <x:c r="H17" s="22" t="n">
        <x:f>MAX(E17:G17)</x:f>
        <x:v>49</x:v>
      </x:c>
      <x:c r="I17" s="14"/>
      <x:c r="J17" s="14" t="str">
        <x:v>State of Paraíba</x:v>
      </x:c>
      <x:c r="K17" s="22" t="n">
        <x:v>49</x:v>
      </x:c>
      <x:c r="L17" s="22" t="n">
        <x:v>28</x:v>
      </x:c>
      <x:c r="M17" s="22" t="n">
        <x:v>12</x:v>
      </x:c>
      <x:c r="N17" s="22" t="n">
        <x:v>8</x:v>
      </x:c>
      <x:c r="O17" s="22" t="n">
        <x:v>3</x:v>
      </x:c>
      <x:c r="P17" s="22" t="n">
        <x:f>SUM(K17:O17)</x:f>
        <x:v>100</x:v>
      </x:c>
    </x:row>
    <x:row r="18">
      <x:c r="A18" s="14"/>
      <x:c r="B18" s="14"/>
      <x:c r="C18" s="14"/>
      <x:c r="D18" s="14" t="str">
        <x:v>State of Minas Gerais</x:v>
      </x:c>
      <x:c r="E18" s="22" t="n">
        <x:v>49</x:v>
      </x:c>
      <x:c r="F18" s="22" t="n">
        <x:v>27</x:v>
      </x:c>
      <x:c r="G18" s="22" t="n">
        <x:v>11</x:v>
      </x:c>
      <x:c r="H18" s="22" t="n">
        <x:f>MAX(E18:G18)</x:f>
        <x:v>49</x:v>
      </x:c>
      <x:c r="I18" s="14"/>
      <x:c r="J18" s="14" t="str">
        <x:v>State of Minas Gerais</x:v>
      </x:c>
      <x:c r="K18" s="22" t="n">
        <x:v>49</x:v>
      </x:c>
      <x:c r="L18" s="22" t="n">
        <x:v>27</x:v>
      </x:c>
      <x:c r="M18" s="22" t="n">
        <x:v>11</x:v>
      </x:c>
      <x:c r="N18" s="22" t="n">
        <x:v>9</x:v>
      </x:c>
      <x:c r="O18" s="22" t="n">
        <x:v>4</x:v>
      </x:c>
      <x:c r="P18" s="22" t="n">
        <x:f>SUM(K18:O18)</x:f>
        <x:v>100</x:v>
      </x:c>
    </x:row>
    <x:row r="19">
      <x:c r="A19" s="14"/>
      <x:c r="B19" s="14"/>
      <x:c r="C19" s="14"/>
      <x:c r="D19" s="14" t="str">
        <x:v>Federal District</x:v>
      </x:c>
      <x:c r="E19" s="22" t="n">
        <x:v>49</x:v>
      </x:c>
      <x:c r="F19" s="22" t="n">
        <x:v>27</x:v>
      </x:c>
      <x:c r="G19" s="22" t="n">
        <x:v>9</x:v>
      </x:c>
      <x:c r="H19" s="22" t="n">
        <x:f>MAX(E19:G19)</x:f>
        <x:v>49</x:v>
      </x:c>
      <x:c r="I19" s="14"/>
      <x:c r="J19" s="14" t="str">
        <x:v>Federal District</x:v>
      </x:c>
      <x:c r="K19" s="22" t="n">
        <x:v>49</x:v>
      </x:c>
      <x:c r="L19" s="22" t="n">
        <x:v>27</x:v>
      </x:c>
      <x:c r="M19" s="22" t="n">
        <x:v>9</x:v>
      </x:c>
      <x:c r="N19" s="22" t="n">
        <x:v>9</x:v>
      </x:c>
      <x:c r="O19" s="22" t="n">
        <x:v>6</x:v>
      </x:c>
      <x:c r="P19" s="22" t="n">
        <x:f>SUM(K19:O19)</x:f>
        <x:v>100</x:v>
      </x:c>
    </x:row>
    <x:row r="20">
      <x:c r="A20" s="14"/>
      <x:c r="B20" s="14"/>
      <x:c r="C20" s="14"/>
      <x:c r="D20" s="14" t="str">
        <x:v>State of Sergipe</x:v>
      </x:c>
      <x:c r="E20" s="22" t="n">
        <x:v>49</x:v>
      </x:c>
      <x:c r="F20" s="22" t="n">
        <x:v>26</x:v>
      </x:c>
      <x:c r="G20" s="22" t="n">
        <x:v>13</x:v>
      </x:c>
      <x:c r="H20" s="22" t="n">
        <x:f>MAX(E20:G20)</x:f>
        <x:v>49</x:v>
      </x:c>
      <x:c r="I20" s="14"/>
      <x:c r="J20" s="14" t="str">
        <x:v>State of Sergipe</x:v>
      </x:c>
      <x:c r="K20" s="22" t="n">
        <x:v>49</x:v>
      </x:c>
      <x:c r="L20" s="22" t="n">
        <x:v>26</x:v>
      </x:c>
      <x:c r="M20" s="22" t="n">
        <x:v>13</x:v>
      </x:c>
      <x:c r="N20" s="22" t="n">
        <x:v>9</x:v>
      </x:c>
      <x:c r="O20" s="22" t="n">
        <x:v>3</x:v>
      </x:c>
      <x:c r="P20" s="22" t="n">
        <x:f>SUM(K20:O20)</x:f>
        <x:v>100</x:v>
      </x:c>
    </x:row>
    <x:row r="21">
      <x:c r="A21" s="14"/>
      <x:c r="B21" s="14"/>
      <x:c r="C21" s="14"/>
      <x:c r="D21" s="14" t="str">
        <x:v>State of Paraná</x:v>
      </x:c>
      <x:c r="E21" s="22" t="n">
        <x:v>49</x:v>
      </x:c>
      <x:c r="F21" s="22" t="n">
        <x:v>26</x:v>
      </x:c>
      <x:c r="G21" s="22" t="n">
        <x:v>11</x:v>
      </x:c>
      <x:c r="H21" s="22" t="n">
        <x:f>MAX(E21:G21)</x:f>
        <x:v>49</x:v>
      </x:c>
      <x:c r="I21" s="14"/>
      <x:c r="J21" s="14" t="str">
        <x:v>State of Paraná</x:v>
      </x:c>
      <x:c r="K21" s="22" t="n">
        <x:v>49</x:v>
      </x:c>
      <x:c r="L21" s="22" t="n">
        <x:v>26</x:v>
      </x:c>
      <x:c r="M21" s="22" t="n">
        <x:v>11</x:v>
      </x:c>
      <x:c r="N21" s="22" t="n">
        <x:v>11</x:v>
      </x:c>
      <x:c r="O21" s="22" t="n">
        <x:v>3</x:v>
      </x:c>
      <x:c r="P21" s="22" t="n">
        <x:f>SUM(K21:O21)</x:f>
        <x:v>100</x:v>
      </x:c>
    </x:row>
    <x:row r="22">
      <x:c r="A22" s="14"/>
      <x:c r="B22" s="14"/>
      <x:c r="C22" s="14"/>
      <x:c r="D22" s="14" t="str">
        <x:v>State of Acre</x:v>
      </x:c>
      <x:c r="E22" s="22" t="n">
        <x:v>48</x:v>
      </x:c>
      <x:c r="F22" s="22" t="n">
        <x:v>29</x:v>
      </x:c>
      <x:c r="G22" s="22" t="n">
        <x:v>13</x:v>
      </x:c>
      <x:c r="H22" s="22" t="n">
        <x:f>MAX(E22:G22)</x:f>
        <x:v>48</x:v>
      </x:c>
      <x:c r="I22" s="14"/>
      <x:c r="J22" s="14" t="str">
        <x:v>State of Acre</x:v>
      </x:c>
      <x:c r="K22" s="22" t="n">
        <x:v>48</x:v>
      </x:c>
      <x:c r="L22" s="22" t="n">
        <x:v>29</x:v>
      </x:c>
      <x:c r="M22" s="22" t="n">
        <x:v>13</x:v>
      </x:c>
      <x:c r="N22" s="22" t="n">
        <x:v>7</x:v>
      </x:c>
      <x:c r="O22" s="22" t="n">
        <x:v>3</x:v>
      </x:c>
      <x:c r="P22" s="22" t="n">
        <x:f>SUM(K22:O22)</x:f>
        <x:v>100</x:v>
      </x:c>
    </x:row>
    <x:row r="23">
      <x:c r="A23" s="14"/>
      <x:c r="B23" s="14"/>
      <x:c r="C23" s="14"/>
      <x:c r="D23" s="14" t="str">
        <x:v>State of Amapá</x:v>
      </x:c>
      <x:c r="E23" s="22" t="n">
        <x:v>48</x:v>
      </x:c>
      <x:c r="F23" s="22" t="n">
        <x:v>25</x:v>
      </x:c>
      <x:c r="G23" s="22" t="n">
        <x:v>15</x:v>
      </x:c>
      <x:c r="H23" s="22" t="n">
        <x:f>MAX(E23:G23)</x:f>
        <x:v>48</x:v>
      </x:c>
      <x:c r="I23" s="14"/>
      <x:c r="J23" s="14" t="str">
        <x:v>State of Amapá</x:v>
      </x:c>
      <x:c r="K23" s="22" t="n">
        <x:v>48</x:v>
      </x:c>
      <x:c r="L23" s="22" t="n">
        <x:v>25</x:v>
      </x:c>
      <x:c r="M23" s="22" t="n">
        <x:v>15</x:v>
      </x:c>
      <x:c r="N23" s="22" t="n">
        <x:v>9</x:v>
      </x:c>
      <x:c r="O23" s="22" t="n">
        <x:v>3</x:v>
      </x:c>
      <x:c r="P23" s="22" t="n">
        <x:f>SUM(K23:O23)</x:f>
        <x:v>100</x:v>
      </x:c>
    </x:row>
    <x:row r="24">
      <x:c r="A24" s="14"/>
      <x:c r="B24" s="14"/>
      <x:c r="C24" s="14"/>
      <x:c r="D24" s="14" t="str">
        <x:v>State of Rio Grande do Sul</x:v>
      </x:c>
      <x:c r="E24" s="22" t="n">
        <x:v>47</x:v>
      </x:c>
      <x:c r="F24" s="22" t="n">
        <x:v>28</x:v>
      </x:c>
      <x:c r="G24" s="22" t="n">
        <x:v>11</x:v>
      </x:c>
      <x:c r="H24" s="22" t="n">
        <x:f>MAX(E24:G24)</x:f>
        <x:v>47</x:v>
      </x:c>
      <x:c r="I24" s="14"/>
      <x:c r="J24" s="14" t="str">
        <x:v>State of Rio Grande do Sul</x:v>
      </x:c>
      <x:c r="K24" s="22" t="n">
        <x:v>47</x:v>
      </x:c>
      <x:c r="L24" s="22" t="n">
        <x:v>28</x:v>
      </x:c>
      <x:c r="M24" s="22" t="n">
        <x:v>11</x:v>
      </x:c>
      <x:c r="N24" s="22" t="n">
        <x:v>10</x:v>
      </x:c>
      <x:c r="O24" s="22" t="n">
        <x:v>4</x:v>
      </x:c>
      <x:c r="P24" s="22" t="n">
        <x:f>SUM(K24:O24)</x:f>
        <x:v>100</x:v>
      </x:c>
    </x:row>
    <x:row r="25">
      <x:c r="A25" s="14"/>
      <x:c r="B25" s="14"/>
      <x:c r="C25" s="14"/>
      <x:c r="D25" s="14" t="str">
        <x:v>State of São Paulo</x:v>
      </x:c>
      <x:c r="E25" s="22" t="n">
        <x:v>47</x:v>
      </x:c>
      <x:c r="F25" s="22" t="n">
        <x:v>26</x:v>
      </x:c>
      <x:c r="G25" s="22" t="n">
        <x:v>12</x:v>
      </x:c>
      <x:c r="H25" s="22" t="n">
        <x:f>MAX(E25:G25)</x:f>
        <x:v>47</x:v>
      </x:c>
      <x:c r="I25" s="14"/>
      <x:c r="J25" s="14" t="str">
        <x:v>State of São Paulo</x:v>
      </x:c>
      <x:c r="K25" s="22" t="n">
        <x:v>47</x:v>
      </x:c>
      <x:c r="L25" s="22" t="n">
        <x:v>26</x:v>
      </x:c>
      <x:c r="M25" s="22" t="n">
        <x:v>12</x:v>
      </x:c>
      <x:c r="N25" s="22" t="n">
        <x:v>11</x:v>
      </x:c>
      <x:c r="O25" s="22" t="n">
        <x:v>4</x:v>
      </x:c>
      <x:c r="P25" s="22" t="n">
        <x:f>SUM(K25:O25)</x:f>
        <x:v>100</x:v>
      </x:c>
    </x:row>
    <x:row r="26">
      <x:c r="A26" s="14"/>
      <x:c r="B26" s="14"/>
      <x:c r="C26" s="14"/>
      <x:c r="D26" s="14" t="str">
        <x:v>State of Santa Catarina</x:v>
      </x:c>
      <x:c r="E26" s="22" t="n">
        <x:v>47</x:v>
      </x:c>
      <x:c r="F26" s="22" t="n">
        <x:v>25</x:v>
      </x:c>
      <x:c r="G26" s="22" t="n">
        <x:v>13</x:v>
      </x:c>
      <x:c r="H26" s="22" t="n">
        <x:f>MAX(E26:G26)</x:f>
        <x:v>47</x:v>
      </x:c>
      <x:c r="I26" s="14"/>
      <x:c r="J26" s="14" t="str">
        <x:v>State of Santa Catarina</x:v>
      </x:c>
      <x:c r="K26" s="22" t="n">
        <x:v>47</x:v>
      </x:c>
      <x:c r="L26" s="22" t="n">
        <x:v>25</x:v>
      </x:c>
      <x:c r="M26" s="22" t="n">
        <x:v>13</x:v>
      </x:c>
      <x:c r="N26" s="22" t="n">
        <x:v>12</x:v>
      </x:c>
      <x:c r="O26" s="22" t="n">
        <x:v>3</x:v>
      </x:c>
      <x:c r="P26" s="22" t="n">
        <x:f>SUM(K26:O26)</x:f>
        <x:v>100</x:v>
      </x:c>
    </x:row>
    <x:row r="27">
      <x:c r="A27" s="14"/>
      <x:c r="B27" s="14"/>
      <x:c r="C27" s="14"/>
      <x:c r="D27" s="14" t="str">
        <x:v>State of Rondônia</x:v>
      </x:c>
      <x:c r="E27" s="22" t="n">
        <x:v>46</x:v>
      </x:c>
      <x:c r="F27" s="22" t="n">
        <x:v>29</x:v>
      </x:c>
      <x:c r="G27" s="22" t="n">
        <x:v>12</x:v>
      </x:c>
      <x:c r="H27" s="22" t="n">
        <x:f>MAX(E27:G27)</x:f>
        <x:v>46</x:v>
      </x:c>
      <x:c r="I27" s="14"/>
      <x:c r="J27" s="14" t="str">
        <x:v>State of Rondônia</x:v>
      </x:c>
      <x:c r="K27" s="22" t="n">
        <x:v>46</x:v>
      </x:c>
      <x:c r="L27" s="22" t="n">
        <x:v>29</x:v>
      </x:c>
      <x:c r="M27" s="22" t="n">
        <x:v>12</x:v>
      </x:c>
      <x:c r="N27" s="22" t="n">
        <x:v>10</x:v>
      </x:c>
      <x:c r="O27" s="22" t="n">
        <x:v>3</x:v>
      </x:c>
      <x:c r="P27" s="22" t="n">
        <x:f>SUM(K27:O27)</x:f>
        <x:v>100</x:v>
      </x:c>
    </x:row>
    <x:row r="28">
      <x:c r="A28" s="14"/>
      <x:c r="B28" s="14"/>
      <x:c r="C28" s="14"/>
      <x:c r="D28" s="14" t="str">
        <x:v>State of Tocantins</x:v>
      </x:c>
      <x:c r="E28" s="22" t="n">
        <x:v>46</x:v>
      </x:c>
      <x:c r="F28" s="22" t="n">
        <x:v>28</x:v>
      </x:c>
      <x:c r="G28" s="22" t="n">
        <x:v>13</x:v>
      </x:c>
      <x:c r="H28" s="22" t="n">
        <x:f>MAX(E28:G28)</x:f>
        <x:v>46</x:v>
      </x:c>
      <x:c r="I28" s="14"/>
      <x:c r="J28" s="14" t="str">
        <x:v>State of Tocantins</x:v>
      </x:c>
      <x:c r="K28" s="22" t="n">
        <x:v>46</x:v>
      </x:c>
      <x:c r="L28" s="22" t="n">
        <x:v>28</x:v>
      </x:c>
      <x:c r="M28" s="22" t="n">
        <x:v>13</x:v>
      </x:c>
      <x:c r="N28" s="22" t="n">
        <x:v>8</x:v>
      </x:c>
      <x:c r="O28" s="22" t="n">
        <x:v>5</x:v>
      </x:c>
      <x:c r="P28" s="22" t="n">
        <x:f>SUM(K28:O28)</x:f>
        <x:v>100</x:v>
      </x:c>
    </x:row>
    <x:row r="29">
      <x:c r="A29" s="14"/>
      <x:c r="B29" s="14"/>
      <x:c r="C29" s="14"/>
      <x:c r="D29" s="14" t="str">
        <x:v>State of Goiás</x:v>
      </x:c>
      <x:c r="E29" s="22" t="n">
        <x:v>46</x:v>
      </x:c>
      <x:c r="F29" s="22" t="n">
        <x:v>27</x:v>
      </x:c>
      <x:c r="G29" s="22" t="n">
        <x:v>9</x:v>
      </x:c>
      <x:c r="H29" s="22" t="n">
        <x:f>MAX(E29:G29)</x:f>
        <x:v>46</x:v>
      </x:c>
      <x:c r="I29" s="14"/>
      <x:c r="J29" s="14" t="str">
        <x:v>State of Goiás</x:v>
      </x:c>
      <x:c r="K29" s="22" t="n">
        <x:v>46</x:v>
      </x:c>
      <x:c r="L29" s="22" t="n">
        <x:v>27</x:v>
      </x:c>
      <x:c r="M29" s="22" t="n">
        <x:v>9</x:v>
      </x:c>
      <x:c r="N29" s="22" t="n">
        <x:v>7</x:v>
      </x:c>
      <x:c r="O29" s="22" t="n">
        <x:v>11</x:v>
      </x:c>
      <x:c r="P29" s="22" t="n">
        <x:f>SUM(K29:O29)</x:f>
        <x:v>100</x:v>
      </x:c>
    </x:row>
    <x:row r="30">
      <x:c r="A30" s="14"/>
      <x:c r="B30" s="14"/>
      <x:c r="C30" s="14"/>
      <x:c r="D30" s="14" t="str">
        <x:v>State of Roraima</x:v>
      </x:c>
      <x:c r="E30" s="22" t="n">
        <x:v>45</x:v>
      </x:c>
      <x:c r="F30" s="22" t="n">
        <x:v>30</x:v>
      </x:c>
      <x:c r="G30" s="22" t="n">
        <x:v>13</x:v>
      </x:c>
      <x:c r="H30" s="22" t="n">
        <x:f>MAX(E30:G30)</x:f>
        <x:v>45</x:v>
      </x:c>
      <x:c r="I30" s="14"/>
      <x:c r="J30" s="14" t="str">
        <x:v>State of Roraima</x:v>
      </x:c>
      <x:c r="K30" s="22" t="n">
        <x:v>45</x:v>
      </x:c>
      <x:c r="L30" s="22" t="n">
        <x:v>30</x:v>
      </x:c>
      <x:c r="M30" s="22" t="n">
        <x:v>13</x:v>
      </x:c>
      <x:c r="N30" s="22" t="n">
        <x:v>9</x:v>
      </x:c>
      <x:c r="O30" s="22" t="n">
        <x:v>3</x:v>
      </x:c>
      <x:c r="P30" s="22" t="n">
        <x:f>SUM(K30:O30)</x:f>
        <x:v>100</x:v>
      </x:c>
    </x:row>
    <x:row r="31">
      <x:c r="A31" s="14"/>
      <x:c r="B31" s="14"/>
      <x:c r="C31" s="14"/>
      <x:c r="D31" s="26" t="str">
        <x:v>TOTAL</x:v>
      </x:c>
      <x:c r="E31" s="27" t="n">
        <x:f>SUM(E4:E30)</x:f>
        <x:v>1335</x:v>
      </x:c>
      <x:c r="F31" s="27" t="n">
        <x:f>SUM(F4:F30)</x:f>
        <x:v>724</x:v>
      </x:c>
      <x:c r="G31" s="27" t="n">
        <x:f>SUM(G4:G30)</x:f>
        <x:v>310</x:v>
      </x:c>
      <x:c r="H31" s="27" t="n">
        <x:f>MAX(E31:G31)</x:f>
        <x:v>1335</x:v>
      </x:c>
      <x:c r="I31" s="14"/>
      <x:c r="J31" s="26" t="str">
        <x:v>TOTAL</x:v>
      </x:c>
      <x:c r="K31" s="27" t="n">
        <x:f>SUM(K4:K30)</x:f>
        <x:v>1335</x:v>
      </x:c>
      <x:c r="L31" s="27" t="n">
        <x:f>SUM(L4:L30)</x:f>
        <x:v>724</x:v>
      </x:c>
      <x:c r="M31" s="27" t="n">
        <x:f>SUM(M4:M30)</x:f>
        <x:v>310</x:v>
      </x:c>
      <x:c r="N31" s="27" t="n">
        <x:f>SUM(N4:N30)</x:f>
        <x:v>234</x:v>
      </x:c>
      <x:c r="O31" s="27" t="n">
        <x:f>SUM(O4:O30)</x:f>
        <x:v>97</x:v>
      </x:c>
      <x:c r="P31" s="27" t="n">
        <x:f>SUM(P4:P30)</x:f>
        <x:v>2700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feb889ba2c494c1f"/>
</x:worksheet>
</file>