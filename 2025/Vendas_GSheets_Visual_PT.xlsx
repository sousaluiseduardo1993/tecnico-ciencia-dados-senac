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Lookup" sheetId="2" state="visible" r:id="rId2"/>
    <sheet xmlns:r="http://schemas.openxmlformats.org/officeDocument/2006/relationships" name="Análise" sheetId="3" state="visible" r:id="rId3"/>
    <sheet xmlns:r="http://schemas.openxmlformats.org/officeDocument/2006/relationships" name="Atividade Prática – Funções Avanç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9BBB59"/>
        <bgColor rgb="00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9" customWidth="1" min="4" max="4"/>
    <col width="21" customWidth="1" min="5" max="5"/>
    <col width="15" customWidth="1" min="6" max="6"/>
    <col width="12" customWidth="1" min="7" max="7"/>
    <col width="13" customWidth="1" min="8" max="8"/>
  </cols>
  <sheetData>
    <row r="1">
      <c r="A1" s="1" t="inlineStr">
        <is>
          <t>ID_Venda</t>
        </is>
      </c>
      <c r="B1" s="1" t="inlineStr">
        <is>
          <t>Produto</t>
        </is>
      </c>
      <c r="C1" s="1" t="inlineStr">
        <is>
          <t>Região</t>
        </is>
      </c>
      <c r="D1" s="1" t="inlineStr">
        <is>
          <t>Valor</t>
        </is>
      </c>
      <c r="E1" s="1" t="inlineStr">
        <is>
          <t>Data</t>
        </is>
      </c>
      <c r="F1" s="1" t="inlineStr">
        <is>
          <t>Nome_Vendedor</t>
        </is>
      </c>
      <c r="G1" s="1" t="inlineStr">
        <is>
          <t>Ano</t>
        </is>
      </c>
      <c r="H1" s="1" t="inlineStr">
        <is>
          <t>Mês</t>
        </is>
      </c>
    </row>
    <row r="2">
      <c r="A2" t="inlineStr">
        <is>
          <t>V1001</t>
        </is>
      </c>
      <c r="B2" t="inlineStr">
        <is>
          <t>Produto B</t>
        </is>
      </c>
      <c r="C2" t="inlineStr">
        <is>
          <t>Sudeste</t>
        </is>
      </c>
      <c r="D2" s="2" t="n">
        <v>437.36</v>
      </c>
      <c r="E2" s="3" t="n">
        <v>44681</v>
      </c>
      <c r="F2" t="inlineStr">
        <is>
          <t>Diego Lima</t>
        </is>
      </c>
      <c r="G2">
        <f>YEAR(E2)</f>
        <v/>
      </c>
      <c r="H2">
        <f>MONTH(E2)</f>
        <v/>
      </c>
    </row>
    <row r="3">
      <c r="A3" t="inlineStr">
        <is>
          <t>V1002</t>
        </is>
      </c>
      <c r="B3" t="inlineStr">
        <is>
          <t>Produto C</t>
        </is>
      </c>
      <c r="C3" t="inlineStr">
        <is>
          <t>Sudeste</t>
        </is>
      </c>
      <c r="D3" s="2" t="n">
        <v>3423.29</v>
      </c>
      <c r="E3" s="3" t="n">
        <v>45007</v>
      </c>
      <c r="F3" t="inlineStr">
        <is>
          <t>Bruno Costa</t>
        </is>
      </c>
      <c r="G3">
        <f>YEAR(E3)</f>
        <v/>
      </c>
      <c r="H3">
        <f>MONTH(E3)</f>
        <v/>
      </c>
    </row>
    <row r="4">
      <c r="A4" t="inlineStr">
        <is>
          <t>V1003</t>
        </is>
      </c>
      <c r="B4" t="inlineStr">
        <is>
          <t>Produto X</t>
        </is>
      </c>
      <c r="C4" t="inlineStr">
        <is>
          <t>Sudeste</t>
        </is>
      </c>
      <c r="D4" s="2" t="n">
        <v>3652.26</v>
      </c>
      <c r="E4" s="3" t="n">
        <v>45229</v>
      </c>
      <c r="F4" t="inlineStr">
        <is>
          <t>Eva Rocha</t>
        </is>
      </c>
      <c r="G4">
        <f>YEAR(E4)</f>
        <v/>
      </c>
      <c r="H4">
        <f>MONTH(E4)</f>
        <v/>
      </c>
    </row>
    <row r="5">
      <c r="A5" t="inlineStr">
        <is>
          <t>V1004</t>
        </is>
      </c>
      <c r="B5" t="inlineStr">
        <is>
          <t>Produto Y</t>
        </is>
      </c>
      <c r="C5" t="inlineStr">
        <is>
          <t>Centro-Oeste</t>
        </is>
      </c>
      <c r="D5" s="2" t="n">
        <v>4727.64</v>
      </c>
      <c r="E5" s="3" t="n">
        <v>45194</v>
      </c>
      <c r="F5" t="inlineStr">
        <is>
          <t>Carla Dias</t>
        </is>
      </c>
      <c r="G5">
        <f>YEAR(E5)</f>
        <v/>
      </c>
      <c r="H5">
        <f>MONTH(E5)</f>
        <v/>
      </c>
    </row>
    <row r="6">
      <c r="A6" t="inlineStr">
        <is>
          <t>V1005</t>
        </is>
      </c>
      <c r="B6" t="inlineStr">
        <is>
          <t>Produto X</t>
        </is>
      </c>
      <c r="C6" t="inlineStr">
        <is>
          <t>Nordeste</t>
        </is>
      </c>
      <c r="D6" s="2" t="n">
        <v>4372.35</v>
      </c>
      <c r="E6" s="3" t="n">
        <v>44679</v>
      </c>
      <c r="F6" t="inlineStr">
        <is>
          <t>Bruno Costa</t>
        </is>
      </c>
      <c r="G6">
        <f>YEAR(E6)</f>
        <v/>
      </c>
      <c r="H6">
        <f>MONTH(E6)</f>
        <v/>
      </c>
    </row>
    <row r="7">
      <c r="A7" t="inlineStr">
        <is>
          <t>V1006</t>
        </is>
      </c>
      <c r="B7" t="inlineStr">
        <is>
          <t>Produto A</t>
        </is>
      </c>
      <c r="C7" t="inlineStr">
        <is>
          <t>Sul</t>
        </is>
      </c>
      <c r="D7" s="2" t="n">
        <v>4374.75</v>
      </c>
      <c r="E7" s="3" t="n">
        <v>45036</v>
      </c>
      <c r="F7" t="inlineStr">
        <is>
          <t>Carla Dias</t>
        </is>
      </c>
      <c r="G7">
        <f>YEAR(E7)</f>
        <v/>
      </c>
      <c r="H7">
        <f>MONTH(E7)</f>
        <v/>
      </c>
    </row>
    <row r="8">
      <c r="A8" t="inlineStr">
        <is>
          <t>V1007</t>
        </is>
      </c>
      <c r="B8" t="inlineStr">
        <is>
          <t>Produto Y</t>
        </is>
      </c>
      <c r="C8" t="inlineStr">
        <is>
          <t>Sudeste</t>
        </is>
      </c>
      <c r="D8" s="2" t="n">
        <v>4117.47</v>
      </c>
      <c r="E8" s="3" t="n">
        <v>44706</v>
      </c>
      <c r="F8" t="inlineStr">
        <is>
          <t>Carla Dias</t>
        </is>
      </c>
      <c r="G8">
        <f>YEAR(E8)</f>
        <v/>
      </c>
      <c r="H8">
        <f>MONTH(E8)</f>
        <v/>
      </c>
    </row>
    <row r="9">
      <c r="A9" t="inlineStr">
        <is>
          <t>V1008</t>
        </is>
      </c>
      <c r="B9" t="inlineStr">
        <is>
          <t>Produto B</t>
        </is>
      </c>
      <c r="C9" t="inlineStr">
        <is>
          <t>Norte</t>
        </is>
      </c>
      <c r="D9" s="2" t="n">
        <v>320.68</v>
      </c>
      <c r="E9" s="3" t="n">
        <v>44886</v>
      </c>
      <c r="F9" t="inlineStr">
        <is>
          <t>Carla Dias</t>
        </is>
      </c>
      <c r="G9">
        <f>YEAR(E9)</f>
        <v/>
      </c>
      <c r="H9">
        <f>MONTH(E9)</f>
        <v/>
      </c>
    </row>
    <row r="10">
      <c r="A10" t="inlineStr">
        <is>
          <t>V1009</t>
        </is>
      </c>
      <c r="B10" t="inlineStr">
        <is>
          <t>Produto C</t>
        </is>
      </c>
      <c r="C10" t="inlineStr">
        <is>
          <t>Norte</t>
        </is>
      </c>
      <c r="D10" s="2" t="n">
        <v>4598.63</v>
      </c>
      <c r="E10" s="3" t="n">
        <v>45280</v>
      </c>
      <c r="F10" t="inlineStr">
        <is>
          <t>Bruno Costa</t>
        </is>
      </c>
      <c r="G10">
        <f>YEAR(E10)</f>
        <v/>
      </c>
      <c r="H10">
        <f>MONTH(E10)</f>
        <v/>
      </c>
    </row>
    <row r="11">
      <c r="A11" t="inlineStr">
        <is>
          <t>V1010</t>
        </is>
      </c>
      <c r="B11" t="inlineStr">
        <is>
          <t>Produto A</t>
        </is>
      </c>
      <c r="C11" t="inlineStr">
        <is>
          <t>Sul</t>
        </is>
      </c>
      <c r="D11" s="2" t="n">
        <v>904.7</v>
      </c>
      <c r="E11" s="3" t="n">
        <v>45291</v>
      </c>
      <c r="F11" t="inlineStr">
        <is>
          <t>Carla Dias</t>
        </is>
      </c>
      <c r="G11">
        <f>YEAR(E11)</f>
        <v/>
      </c>
      <c r="H11">
        <f>MONTH(E11)</f>
        <v/>
      </c>
    </row>
    <row r="12">
      <c r="A12" t="inlineStr">
        <is>
          <t>V1011</t>
        </is>
      </c>
      <c r="B12" t="inlineStr">
        <is>
          <t>Produto B</t>
        </is>
      </c>
      <c r="C12" t="inlineStr">
        <is>
          <t>Nordeste</t>
        </is>
      </c>
      <c r="D12" s="2" t="n">
        <v>2884.02</v>
      </c>
      <c r="E12" s="3" t="n">
        <v>44856</v>
      </c>
      <c r="F12" t="inlineStr">
        <is>
          <t>Carla Dias</t>
        </is>
      </c>
      <c r="G12">
        <f>YEAR(E12)</f>
        <v/>
      </c>
      <c r="H12">
        <f>MONTH(E12)</f>
        <v/>
      </c>
    </row>
    <row r="13">
      <c r="A13" t="inlineStr">
        <is>
          <t>V1012</t>
        </is>
      </c>
      <c r="B13" t="inlineStr">
        <is>
          <t>Produto X</t>
        </is>
      </c>
      <c r="C13" t="inlineStr">
        <is>
          <t>Centro-Oeste</t>
        </is>
      </c>
      <c r="D13" s="2" t="n">
        <v>4951.64</v>
      </c>
      <c r="E13" s="3" t="n">
        <v>45273</v>
      </c>
      <c r="F13" t="inlineStr">
        <is>
          <t>Bruno Costa</t>
        </is>
      </c>
      <c r="G13">
        <f>YEAR(E13)</f>
        <v/>
      </c>
      <c r="H13">
        <f>MONTH(E13)</f>
        <v/>
      </c>
    </row>
    <row r="14">
      <c r="A14" t="inlineStr">
        <is>
          <t>V1013</t>
        </is>
      </c>
      <c r="B14" t="inlineStr">
        <is>
          <t>Produto B</t>
        </is>
      </c>
      <c r="C14" t="inlineStr">
        <is>
          <t>Norte</t>
        </is>
      </c>
      <c r="D14" s="2" t="n">
        <v>2697.92</v>
      </c>
      <c r="E14" s="3" t="n">
        <v>45068</v>
      </c>
      <c r="F14" t="inlineStr">
        <is>
          <t>Carla Dias</t>
        </is>
      </c>
      <c r="G14">
        <f>YEAR(E14)</f>
        <v/>
      </c>
      <c r="H14">
        <f>MONTH(E14)</f>
        <v/>
      </c>
    </row>
    <row r="15">
      <c r="A15" t="inlineStr">
        <is>
          <t>V1014</t>
        </is>
      </c>
      <c r="B15" t="inlineStr">
        <is>
          <t>Produto A</t>
        </is>
      </c>
      <c r="C15" t="inlineStr">
        <is>
          <t>Norte</t>
        </is>
      </c>
      <c r="D15" s="2" t="n">
        <v>2696.58</v>
      </c>
      <c r="E15" s="3" t="n">
        <v>44609</v>
      </c>
      <c r="F15" t="inlineStr">
        <is>
          <t>Bruno Costa</t>
        </is>
      </c>
      <c r="G15">
        <f>YEAR(E15)</f>
        <v/>
      </c>
      <c r="H15">
        <f>MONTH(E15)</f>
        <v/>
      </c>
    </row>
    <row r="16">
      <c r="A16" t="inlineStr">
        <is>
          <t>V1015</t>
        </is>
      </c>
      <c r="B16" t="inlineStr">
        <is>
          <t>Produto Y</t>
        </is>
      </c>
      <c r="C16" t="inlineStr">
        <is>
          <t>Sul</t>
        </is>
      </c>
      <c r="D16" s="2" t="n">
        <v>400.53</v>
      </c>
      <c r="E16" s="3" t="n">
        <v>44890</v>
      </c>
      <c r="F16" t="inlineStr">
        <is>
          <t>Diego Lima</t>
        </is>
      </c>
      <c r="G16">
        <f>YEAR(E16)</f>
        <v/>
      </c>
      <c r="H16">
        <f>MONTH(E16)</f>
        <v/>
      </c>
    </row>
    <row r="17">
      <c r="A17" t="inlineStr">
        <is>
          <t>V1016</t>
        </is>
      </c>
      <c r="B17" t="inlineStr">
        <is>
          <t>Produto Y</t>
        </is>
      </c>
      <c r="C17" t="inlineStr">
        <is>
          <t>Centro-Oeste</t>
        </is>
      </c>
      <c r="D17" s="2" t="n">
        <v>1908.37</v>
      </c>
      <c r="E17" s="3" t="n">
        <v>45104</v>
      </c>
      <c r="F17" t="inlineStr">
        <is>
          <t>Bruno Costa</t>
        </is>
      </c>
      <c r="G17">
        <f>YEAR(E17)</f>
        <v/>
      </c>
      <c r="H17">
        <f>MONTH(E17)</f>
        <v/>
      </c>
    </row>
    <row r="18">
      <c r="A18" t="inlineStr">
        <is>
          <t>V1017</t>
        </is>
      </c>
      <c r="B18" t="inlineStr">
        <is>
          <t>Produto Y</t>
        </is>
      </c>
      <c r="C18" t="inlineStr">
        <is>
          <t>Sul</t>
        </is>
      </c>
      <c r="D18" s="2" t="n">
        <v>4372.14</v>
      </c>
      <c r="E18" s="3" t="n">
        <v>44585</v>
      </c>
      <c r="F18" t="inlineStr">
        <is>
          <t>Eva Rocha</t>
        </is>
      </c>
      <c r="G18">
        <f>YEAR(E18)</f>
        <v/>
      </c>
      <c r="H18">
        <f>MONTH(E18)</f>
        <v/>
      </c>
    </row>
    <row r="19">
      <c r="A19" t="inlineStr">
        <is>
          <t>V1018</t>
        </is>
      </c>
      <c r="B19" t="inlineStr">
        <is>
          <t>Produto Y</t>
        </is>
      </c>
      <c r="C19" t="inlineStr">
        <is>
          <t>Norte</t>
        </is>
      </c>
      <c r="D19" s="2" t="n">
        <v>907.33</v>
      </c>
      <c r="E19" s="3" t="n">
        <v>45143</v>
      </c>
      <c r="F19" t="inlineStr">
        <is>
          <t>Eva Rocha</t>
        </is>
      </c>
      <c r="G19">
        <f>YEAR(E19)</f>
        <v/>
      </c>
      <c r="H19">
        <f>MONTH(E19)</f>
        <v/>
      </c>
    </row>
    <row r="20">
      <c r="A20" t="inlineStr">
        <is>
          <t>V1019</t>
        </is>
      </c>
      <c r="B20" t="inlineStr">
        <is>
          <t>Produto Y</t>
        </is>
      </c>
      <c r="C20" t="inlineStr">
        <is>
          <t>Nordeste</t>
        </is>
      </c>
      <c r="D20" s="2" t="n">
        <v>3402.22</v>
      </c>
      <c r="E20" s="3" t="n">
        <v>45084</v>
      </c>
      <c r="F20" t="inlineStr">
        <is>
          <t>Diego Lima</t>
        </is>
      </c>
      <c r="G20">
        <f>YEAR(E20)</f>
        <v/>
      </c>
      <c r="H20">
        <f>MONTH(E20)</f>
        <v/>
      </c>
    </row>
    <row r="21">
      <c r="A21" t="inlineStr">
        <is>
          <t>V1020</t>
        </is>
      </c>
      <c r="B21" t="inlineStr">
        <is>
          <t>Produto B</t>
        </is>
      </c>
      <c r="C21" t="inlineStr">
        <is>
          <t>Norte</t>
        </is>
      </c>
      <c r="D21" s="2" t="n">
        <v>3787.43</v>
      </c>
      <c r="E21" s="3" t="n">
        <v>44699</v>
      </c>
      <c r="F21" t="inlineStr">
        <is>
          <t>Bruno Costa</t>
        </is>
      </c>
      <c r="G21">
        <f>YEAR(E21)</f>
        <v/>
      </c>
      <c r="H21">
        <f>MONTH(E21)</f>
        <v/>
      </c>
    </row>
    <row r="22">
      <c r="A22" t="inlineStr">
        <is>
          <t>V1021</t>
        </is>
      </c>
      <c r="B22" t="inlineStr">
        <is>
          <t>Produto X</t>
        </is>
      </c>
      <c r="C22" t="inlineStr">
        <is>
          <t>Norte</t>
        </is>
      </c>
      <c r="D22" s="2" t="n">
        <v>2378.62</v>
      </c>
      <c r="E22" s="3" t="n">
        <v>45289</v>
      </c>
      <c r="F22" t="inlineStr">
        <is>
          <t>Ana Silva</t>
        </is>
      </c>
      <c r="G22">
        <f>YEAR(E22)</f>
        <v/>
      </c>
      <c r="H22">
        <f>MONTH(E22)</f>
        <v/>
      </c>
    </row>
    <row r="23">
      <c r="A23" t="inlineStr">
        <is>
          <t>V1022</t>
        </is>
      </c>
      <c r="B23" t="inlineStr">
        <is>
          <t>Produto A</t>
        </is>
      </c>
      <c r="C23" t="inlineStr">
        <is>
          <t>Nordeste</t>
        </is>
      </c>
      <c r="D23" s="2" t="n">
        <v>3302.21</v>
      </c>
      <c r="E23" s="3" t="n">
        <v>44919</v>
      </c>
      <c r="F23" t="inlineStr">
        <is>
          <t>Carla Dias</t>
        </is>
      </c>
      <c r="G23">
        <f>YEAR(E23)</f>
        <v/>
      </c>
      <c r="H23">
        <f>MONTH(E23)</f>
        <v/>
      </c>
    </row>
    <row r="24">
      <c r="A24" t="inlineStr">
        <is>
          <t>V1023</t>
        </is>
      </c>
      <c r="B24" t="inlineStr">
        <is>
          <t>Produto X</t>
        </is>
      </c>
      <c r="C24" t="inlineStr">
        <is>
          <t>Norte</t>
        </is>
      </c>
      <c r="D24" s="2" t="n">
        <v>1259.18</v>
      </c>
      <c r="E24" s="3" t="n">
        <v>44909</v>
      </c>
      <c r="F24" t="inlineStr">
        <is>
          <t>Eva Rocha</t>
        </is>
      </c>
      <c r="G24">
        <f>YEAR(E24)</f>
        <v/>
      </c>
      <c r="H24">
        <f>MONTH(E24)</f>
        <v/>
      </c>
    </row>
    <row r="25">
      <c r="A25" t="inlineStr">
        <is>
          <t>V1024</t>
        </is>
      </c>
      <c r="B25" t="inlineStr">
        <is>
          <t>Produto Y</t>
        </is>
      </c>
      <c r="C25" t="inlineStr">
        <is>
          <t>Sudeste</t>
        </is>
      </c>
      <c r="D25" s="2" t="n">
        <v>4063.01</v>
      </c>
      <c r="E25" s="3" t="n">
        <v>44915</v>
      </c>
      <c r="F25" t="inlineStr">
        <is>
          <t>Carla Dias</t>
        </is>
      </c>
      <c r="G25">
        <f>YEAR(E25)</f>
        <v/>
      </c>
      <c r="H25">
        <f>MONTH(E25)</f>
        <v/>
      </c>
    </row>
    <row r="26">
      <c r="A26" t="inlineStr">
        <is>
          <t>V1025</t>
        </is>
      </c>
      <c r="B26" t="inlineStr">
        <is>
          <t>Produto X</t>
        </is>
      </c>
      <c r="C26" t="inlineStr">
        <is>
          <t>Sul</t>
        </is>
      </c>
      <c r="D26" s="2" t="n">
        <v>957.4299999999999</v>
      </c>
      <c r="E26" s="3" t="n">
        <v>45111</v>
      </c>
      <c r="F26" t="inlineStr">
        <is>
          <t>Eva Rocha</t>
        </is>
      </c>
      <c r="G26">
        <f>YEAR(E26)</f>
        <v/>
      </c>
      <c r="H26">
        <f>MONTH(E26)</f>
        <v/>
      </c>
    </row>
    <row r="27">
      <c r="A27" t="inlineStr">
        <is>
          <t>V1026</t>
        </is>
      </c>
      <c r="B27" t="inlineStr">
        <is>
          <t>Produto A</t>
        </is>
      </c>
      <c r="C27" t="inlineStr">
        <is>
          <t>Sul</t>
        </is>
      </c>
      <c r="D27" s="2" t="n">
        <v>2007.66</v>
      </c>
      <c r="E27" s="3" t="n">
        <v>44797</v>
      </c>
      <c r="F27" t="inlineStr">
        <is>
          <t>Bruno Costa</t>
        </is>
      </c>
      <c r="G27">
        <f>YEAR(E27)</f>
        <v/>
      </c>
      <c r="H27">
        <f>MONTH(E27)</f>
        <v/>
      </c>
    </row>
    <row r="28">
      <c r="A28" t="inlineStr">
        <is>
          <t>V1027</t>
        </is>
      </c>
      <c r="B28" t="inlineStr">
        <is>
          <t>Produto Y</t>
        </is>
      </c>
      <c r="C28" t="inlineStr">
        <is>
          <t>Nordeste</t>
        </is>
      </c>
      <c r="D28" s="2" t="n">
        <v>2432.4</v>
      </c>
      <c r="E28" s="3" t="n">
        <v>44803</v>
      </c>
      <c r="F28" t="inlineStr">
        <is>
          <t>Diego Lima</t>
        </is>
      </c>
      <c r="G28">
        <f>YEAR(E28)</f>
        <v/>
      </c>
      <c r="H28">
        <f>MONTH(E28)</f>
        <v/>
      </c>
    </row>
    <row r="29">
      <c r="A29" t="inlineStr">
        <is>
          <t>V1028</t>
        </is>
      </c>
      <c r="B29" t="inlineStr">
        <is>
          <t>Produto Y</t>
        </is>
      </c>
      <c r="C29" t="inlineStr">
        <is>
          <t>Centro-Oeste</t>
        </is>
      </c>
      <c r="D29" s="2" t="n">
        <v>1846.65</v>
      </c>
      <c r="E29" s="3" t="n">
        <v>44951</v>
      </c>
      <c r="F29" t="inlineStr">
        <is>
          <t>Diego Lima</t>
        </is>
      </c>
      <c r="G29">
        <f>YEAR(E29)</f>
        <v/>
      </c>
      <c r="H29">
        <f>MONTH(E29)</f>
        <v/>
      </c>
    </row>
    <row r="30">
      <c r="A30" t="inlineStr">
        <is>
          <t>V1029</t>
        </is>
      </c>
      <c r="B30" t="inlineStr">
        <is>
          <t>Produto A</t>
        </is>
      </c>
      <c r="C30" t="inlineStr">
        <is>
          <t>Sudeste</t>
        </is>
      </c>
      <c r="D30" s="2" t="n">
        <v>1319.33</v>
      </c>
      <c r="E30" s="3" t="n">
        <v>45051</v>
      </c>
      <c r="F30" t="inlineStr">
        <is>
          <t>Carla Dias</t>
        </is>
      </c>
      <c r="G30">
        <f>YEAR(E30)</f>
        <v/>
      </c>
      <c r="H30">
        <f>MONTH(E30)</f>
        <v/>
      </c>
    </row>
    <row r="31">
      <c r="A31" t="inlineStr">
        <is>
          <t>V1030</t>
        </is>
      </c>
      <c r="B31" t="inlineStr">
        <is>
          <t>Produto Y</t>
        </is>
      </c>
      <c r="C31" t="inlineStr">
        <is>
          <t>Centro-Oeste</t>
        </is>
      </c>
      <c r="D31" s="2" t="n">
        <v>543.14</v>
      </c>
      <c r="E31" s="3" t="n">
        <v>44875</v>
      </c>
      <c r="F31" t="inlineStr">
        <is>
          <t>Eva Rocha</t>
        </is>
      </c>
      <c r="G31">
        <f>YEAR(E31)</f>
        <v/>
      </c>
      <c r="H31">
        <f>MONTH(E31)</f>
        <v/>
      </c>
    </row>
    <row r="32">
      <c r="A32" t="inlineStr">
        <is>
          <t>V1031</t>
        </is>
      </c>
      <c r="B32" t="inlineStr">
        <is>
          <t>Produto A</t>
        </is>
      </c>
      <c r="C32" t="inlineStr">
        <is>
          <t>Sul</t>
        </is>
      </c>
      <c r="D32" s="2" t="n">
        <v>3884.59</v>
      </c>
      <c r="E32" s="3" t="n">
        <v>44911</v>
      </c>
      <c r="F32" t="inlineStr">
        <is>
          <t>Diego Lima</t>
        </is>
      </c>
      <c r="G32">
        <f>YEAR(E32)</f>
        <v/>
      </c>
      <c r="H32">
        <f>MONTH(E32)</f>
        <v/>
      </c>
    </row>
    <row r="33">
      <c r="A33" t="inlineStr">
        <is>
          <t>V1032</t>
        </is>
      </c>
      <c r="B33" t="inlineStr">
        <is>
          <t>Produto A</t>
        </is>
      </c>
      <c r="C33" t="inlineStr">
        <is>
          <t>Centro-Oeste</t>
        </is>
      </c>
      <c r="D33" s="2" t="n">
        <v>2715.14</v>
      </c>
      <c r="E33" s="3" t="n">
        <v>45222</v>
      </c>
      <c r="F33" t="inlineStr">
        <is>
          <t>Diego Lima</t>
        </is>
      </c>
      <c r="G33">
        <f>YEAR(E33)</f>
        <v/>
      </c>
      <c r="H33">
        <f>MONTH(E33)</f>
        <v/>
      </c>
    </row>
    <row r="34">
      <c r="A34" t="inlineStr">
        <is>
          <t>V1033</t>
        </is>
      </c>
      <c r="B34" t="inlineStr">
        <is>
          <t>Produto C</t>
        </is>
      </c>
      <c r="C34" t="inlineStr">
        <is>
          <t>Norte</t>
        </is>
      </c>
      <c r="D34" s="2" t="n">
        <v>303.29</v>
      </c>
      <c r="E34" s="3" t="n">
        <v>44608</v>
      </c>
      <c r="F34" t="inlineStr">
        <is>
          <t>Bruno Costa</t>
        </is>
      </c>
      <c r="G34">
        <f>YEAR(E34)</f>
        <v/>
      </c>
      <c r="H34">
        <f>MONTH(E34)</f>
        <v/>
      </c>
    </row>
    <row r="35">
      <c r="A35" t="inlineStr">
        <is>
          <t>V1034</t>
        </is>
      </c>
      <c r="B35" t="inlineStr">
        <is>
          <t>Produto A</t>
        </is>
      </c>
      <c r="C35" t="inlineStr">
        <is>
          <t>Sudeste</t>
        </is>
      </c>
      <c r="D35" s="2" t="n">
        <v>4689.62</v>
      </c>
      <c r="E35" s="3" t="n">
        <v>45109</v>
      </c>
      <c r="F35" t="inlineStr">
        <is>
          <t>Carla Dias</t>
        </is>
      </c>
      <c r="G35">
        <f>YEAR(E35)</f>
        <v/>
      </c>
      <c r="H35">
        <f>MONTH(E35)</f>
        <v/>
      </c>
    </row>
    <row r="36">
      <c r="A36" t="inlineStr">
        <is>
          <t>V1035</t>
        </is>
      </c>
      <c r="B36" t="inlineStr">
        <is>
          <t>Produto X</t>
        </is>
      </c>
      <c r="C36" t="inlineStr">
        <is>
          <t>Centro-Oeste</t>
        </is>
      </c>
      <c r="D36" s="2" t="n">
        <v>2924.66</v>
      </c>
      <c r="E36" s="3" t="n">
        <v>44710</v>
      </c>
      <c r="F36" t="inlineStr">
        <is>
          <t>Diego Lima</t>
        </is>
      </c>
      <c r="G36">
        <f>YEAR(E36)</f>
        <v/>
      </c>
      <c r="H36">
        <f>MONTH(E36)</f>
        <v/>
      </c>
    </row>
    <row r="37">
      <c r="A37" t="inlineStr">
        <is>
          <t>V1036</t>
        </is>
      </c>
      <c r="B37" t="inlineStr">
        <is>
          <t>Produto X</t>
        </is>
      </c>
      <c r="C37" t="inlineStr">
        <is>
          <t>Norte</t>
        </is>
      </c>
      <c r="D37" s="2" t="n">
        <v>934.37</v>
      </c>
      <c r="E37" s="3" t="n">
        <v>44966</v>
      </c>
      <c r="F37" t="inlineStr">
        <is>
          <t>Diego Lima</t>
        </is>
      </c>
      <c r="G37">
        <f>YEAR(E37)</f>
        <v/>
      </c>
      <c r="H37">
        <f>MONTH(E37)</f>
        <v/>
      </c>
    </row>
    <row r="38">
      <c r="A38" t="inlineStr">
        <is>
          <t>V1037</t>
        </is>
      </c>
      <c r="B38" t="inlineStr">
        <is>
          <t>Produto C</t>
        </is>
      </c>
      <c r="C38" t="inlineStr">
        <is>
          <t>Sul</t>
        </is>
      </c>
      <c r="D38" s="2" t="n">
        <v>2931.49</v>
      </c>
      <c r="E38" s="3" t="n">
        <v>44757</v>
      </c>
      <c r="F38" t="inlineStr">
        <is>
          <t>Bruno Costa</t>
        </is>
      </c>
      <c r="G38">
        <f>YEAR(E38)</f>
        <v/>
      </c>
      <c r="H38">
        <f>MONTH(E38)</f>
        <v/>
      </c>
    </row>
    <row r="39">
      <c r="A39" t="inlineStr">
        <is>
          <t>V1038</t>
        </is>
      </c>
      <c r="B39" t="inlineStr">
        <is>
          <t>Produto Y</t>
        </is>
      </c>
      <c r="C39" t="inlineStr">
        <is>
          <t>Centro-Oeste</t>
        </is>
      </c>
      <c r="D39" s="2" t="n">
        <v>1633.53</v>
      </c>
      <c r="E39" s="3" t="n">
        <v>44960</v>
      </c>
      <c r="F39" t="inlineStr">
        <is>
          <t>Ana Silva</t>
        </is>
      </c>
      <c r="G39">
        <f>YEAR(E39)</f>
        <v/>
      </c>
      <c r="H39">
        <f>MONTH(E39)</f>
        <v/>
      </c>
    </row>
    <row r="40">
      <c r="A40" t="inlineStr">
        <is>
          <t>V1039</t>
        </is>
      </c>
      <c r="B40" t="inlineStr">
        <is>
          <t>Produto Y</t>
        </is>
      </c>
      <c r="C40" t="inlineStr">
        <is>
          <t>Sudeste</t>
        </is>
      </c>
      <c r="D40" s="2" t="n">
        <v>3592.8</v>
      </c>
      <c r="E40" s="3" t="n">
        <v>45237</v>
      </c>
      <c r="F40" t="inlineStr">
        <is>
          <t>Ana Silva</t>
        </is>
      </c>
      <c r="G40">
        <f>YEAR(E40)</f>
        <v/>
      </c>
      <c r="H40">
        <f>MONTH(E40)</f>
        <v/>
      </c>
    </row>
    <row r="41">
      <c r="A41" t="inlineStr">
        <is>
          <t>V1040</t>
        </is>
      </c>
      <c r="B41" t="inlineStr">
        <is>
          <t>Produto Y</t>
        </is>
      </c>
      <c r="C41" t="inlineStr">
        <is>
          <t>Centro-Oeste</t>
        </is>
      </c>
      <c r="D41" s="2" t="n">
        <v>2783.91</v>
      </c>
      <c r="E41" s="3" t="n">
        <v>44603</v>
      </c>
      <c r="F41" t="inlineStr">
        <is>
          <t>Ana Silva</t>
        </is>
      </c>
      <c r="G41">
        <f>YEAR(E41)</f>
        <v/>
      </c>
      <c r="H41">
        <f>MONTH(E41)</f>
        <v/>
      </c>
    </row>
    <row r="42">
      <c r="A42" t="inlineStr">
        <is>
          <t>V1041</t>
        </is>
      </c>
      <c r="B42" t="inlineStr">
        <is>
          <t>Produto X</t>
        </is>
      </c>
      <c r="C42" t="inlineStr">
        <is>
          <t>Nordeste</t>
        </is>
      </c>
      <c r="D42" s="2" t="n">
        <v>304.23</v>
      </c>
      <c r="E42" s="3" t="n">
        <v>44593</v>
      </c>
      <c r="F42" t="inlineStr">
        <is>
          <t>Ana Silva</t>
        </is>
      </c>
      <c r="G42">
        <f>YEAR(E42)</f>
        <v/>
      </c>
      <c r="H42">
        <f>MONTH(E42)</f>
        <v/>
      </c>
    </row>
    <row r="43">
      <c r="A43" t="inlineStr">
        <is>
          <t>V1042</t>
        </is>
      </c>
      <c r="B43" t="inlineStr">
        <is>
          <t>Produto A</t>
        </is>
      </c>
      <c r="C43" t="inlineStr">
        <is>
          <t>Nordeste</t>
        </is>
      </c>
      <c r="D43" s="2" t="n">
        <v>2960.69</v>
      </c>
      <c r="E43" s="3" t="n">
        <v>44771</v>
      </c>
      <c r="F43" t="inlineStr">
        <is>
          <t>Ana Silva</t>
        </is>
      </c>
      <c r="G43">
        <f>YEAR(E43)</f>
        <v/>
      </c>
      <c r="H43">
        <f>MONTH(E43)</f>
        <v/>
      </c>
    </row>
    <row r="44">
      <c r="A44" t="inlineStr">
        <is>
          <t>V1043</t>
        </is>
      </c>
      <c r="B44" t="inlineStr">
        <is>
          <t>Produto B</t>
        </is>
      </c>
      <c r="C44" t="inlineStr">
        <is>
          <t>Nordeste</t>
        </is>
      </c>
      <c r="D44" s="2" t="n">
        <v>1156.06</v>
      </c>
      <c r="E44" s="3" t="n">
        <v>44906</v>
      </c>
      <c r="F44" t="inlineStr">
        <is>
          <t>Eva Rocha</t>
        </is>
      </c>
      <c r="G44">
        <f>YEAR(E44)</f>
        <v/>
      </c>
      <c r="H44">
        <f>MONTH(E44)</f>
        <v/>
      </c>
    </row>
    <row r="45">
      <c r="A45" t="inlineStr">
        <is>
          <t>V1044</t>
        </is>
      </c>
      <c r="B45" t="inlineStr">
        <is>
          <t>Produto X</t>
        </is>
      </c>
      <c r="C45" t="inlineStr">
        <is>
          <t>Norte</t>
        </is>
      </c>
      <c r="D45" s="2" t="n">
        <v>430.35</v>
      </c>
      <c r="E45" s="3" t="n">
        <v>45044</v>
      </c>
      <c r="F45" t="inlineStr">
        <is>
          <t>Eva Rocha</t>
        </is>
      </c>
      <c r="G45">
        <f>YEAR(E45)</f>
        <v/>
      </c>
      <c r="H45">
        <f>MONTH(E45)</f>
        <v/>
      </c>
    </row>
    <row r="46">
      <c r="A46" t="inlineStr">
        <is>
          <t>V1045</t>
        </is>
      </c>
      <c r="B46" t="inlineStr">
        <is>
          <t>Produto C</t>
        </is>
      </c>
      <c r="C46" t="inlineStr">
        <is>
          <t>Sudeste</t>
        </is>
      </c>
      <c r="D46" s="2" t="n">
        <v>716.8200000000001</v>
      </c>
      <c r="E46" s="3" t="n">
        <v>44567</v>
      </c>
      <c r="F46" t="inlineStr">
        <is>
          <t>Eva Rocha</t>
        </is>
      </c>
      <c r="G46">
        <f>YEAR(E46)</f>
        <v/>
      </c>
      <c r="H46">
        <f>MONTH(E46)</f>
        <v/>
      </c>
    </row>
    <row r="47">
      <c r="A47" t="inlineStr">
        <is>
          <t>V1046</t>
        </is>
      </c>
      <c r="B47" t="inlineStr">
        <is>
          <t>Produto B</t>
        </is>
      </c>
      <c r="C47" t="inlineStr">
        <is>
          <t>Norte</t>
        </is>
      </c>
      <c r="D47" s="2" t="n">
        <v>4376.34</v>
      </c>
      <c r="E47" s="3" t="n">
        <v>44719</v>
      </c>
      <c r="F47" t="inlineStr">
        <is>
          <t>Diego Lima</t>
        </is>
      </c>
      <c r="G47">
        <f>YEAR(E47)</f>
        <v/>
      </c>
      <c r="H47">
        <f>MONTH(E47)</f>
        <v/>
      </c>
    </row>
    <row r="48">
      <c r="A48" t="inlineStr">
        <is>
          <t>V1047</t>
        </is>
      </c>
      <c r="B48" t="inlineStr">
        <is>
          <t>Produto X</t>
        </is>
      </c>
      <c r="C48" t="inlineStr">
        <is>
          <t>Sudeste</t>
        </is>
      </c>
      <c r="D48" s="2" t="n">
        <v>1402.66</v>
      </c>
      <c r="E48" s="3" t="n">
        <v>45164</v>
      </c>
      <c r="F48" t="inlineStr">
        <is>
          <t>Diego Lima</t>
        </is>
      </c>
      <c r="G48">
        <f>YEAR(E48)</f>
        <v/>
      </c>
      <c r="H48">
        <f>MONTH(E48)</f>
        <v/>
      </c>
    </row>
    <row r="49">
      <c r="A49" t="inlineStr">
        <is>
          <t>V1048</t>
        </is>
      </c>
      <c r="B49" t="inlineStr">
        <is>
          <t>Produto C</t>
        </is>
      </c>
      <c r="C49" t="inlineStr">
        <is>
          <t>Norte</t>
        </is>
      </c>
      <c r="D49" s="2" t="n">
        <v>3709.67</v>
      </c>
      <c r="E49" s="3" t="n">
        <v>44600</v>
      </c>
      <c r="F49" t="inlineStr">
        <is>
          <t>Bruno Costa</t>
        </is>
      </c>
      <c r="G49">
        <f>YEAR(E49)</f>
        <v/>
      </c>
      <c r="H49">
        <f>MONTH(E49)</f>
        <v/>
      </c>
    </row>
    <row r="50">
      <c r="A50" t="inlineStr">
        <is>
          <t>V1049</t>
        </is>
      </c>
      <c r="B50" t="inlineStr">
        <is>
          <t>Produto C</t>
        </is>
      </c>
      <c r="C50" t="inlineStr">
        <is>
          <t>Nordeste</t>
        </is>
      </c>
      <c r="D50" s="2" t="n">
        <v>2951.27</v>
      </c>
      <c r="E50" s="3" t="n">
        <v>44818</v>
      </c>
      <c r="F50" t="inlineStr">
        <is>
          <t>Diego Lima</t>
        </is>
      </c>
      <c r="G50">
        <f>YEAR(E50)</f>
        <v/>
      </c>
      <c r="H50">
        <f>MONTH(E50)</f>
        <v/>
      </c>
    </row>
    <row r="51">
      <c r="A51" t="inlineStr">
        <is>
          <t>V1050</t>
        </is>
      </c>
      <c r="B51" t="inlineStr">
        <is>
          <t>Produto X</t>
        </is>
      </c>
      <c r="C51" t="inlineStr">
        <is>
          <t>Centro-Oeste</t>
        </is>
      </c>
      <c r="D51" s="2" t="n">
        <v>4257.74</v>
      </c>
      <c r="E51" s="3" t="n">
        <v>45027</v>
      </c>
      <c r="F51" t="inlineStr">
        <is>
          <t>Diego Lima</t>
        </is>
      </c>
      <c r="G51">
        <f>YEAR(E51)</f>
        <v/>
      </c>
      <c r="H51">
        <f>MONTH(E51)</f>
        <v/>
      </c>
    </row>
    <row r="52">
      <c r="A52" t="inlineStr">
        <is>
          <t>V1051</t>
        </is>
      </c>
      <c r="B52" t="inlineStr">
        <is>
          <t>Produto C</t>
        </is>
      </c>
      <c r="C52" t="inlineStr">
        <is>
          <t>Norte</t>
        </is>
      </c>
      <c r="D52" s="2" t="n">
        <v>2457.89</v>
      </c>
      <c r="E52" s="3" t="n">
        <v>45135</v>
      </c>
      <c r="F52" t="inlineStr">
        <is>
          <t>Ana Silva</t>
        </is>
      </c>
      <c r="G52">
        <f>YEAR(E52)</f>
        <v/>
      </c>
      <c r="H52">
        <f>MONTH(E52)</f>
        <v/>
      </c>
    </row>
    <row r="53">
      <c r="A53" t="inlineStr">
        <is>
          <t>V1052</t>
        </is>
      </c>
      <c r="B53" t="inlineStr">
        <is>
          <t>Produto X</t>
        </is>
      </c>
      <c r="C53" t="inlineStr">
        <is>
          <t>Sudeste</t>
        </is>
      </c>
      <c r="D53" s="2" t="n">
        <v>913.35</v>
      </c>
      <c r="E53" s="3" t="n">
        <v>44599</v>
      </c>
      <c r="F53" t="inlineStr">
        <is>
          <t>Carla Dias</t>
        </is>
      </c>
      <c r="G53">
        <f>YEAR(E53)</f>
        <v/>
      </c>
      <c r="H53">
        <f>MONTH(E53)</f>
        <v/>
      </c>
    </row>
    <row r="54">
      <c r="A54" t="inlineStr">
        <is>
          <t>V1053</t>
        </is>
      </c>
      <c r="B54" t="inlineStr">
        <is>
          <t>Produto Y</t>
        </is>
      </c>
      <c r="C54" t="inlineStr">
        <is>
          <t>Centro-Oeste</t>
        </is>
      </c>
      <c r="D54" s="2" t="n">
        <v>425.05</v>
      </c>
      <c r="E54" s="3" t="n">
        <v>44799</v>
      </c>
      <c r="F54" t="inlineStr">
        <is>
          <t>Ana Silva</t>
        </is>
      </c>
      <c r="G54">
        <f>YEAR(E54)</f>
        <v/>
      </c>
      <c r="H54">
        <f>MONTH(E54)</f>
        <v/>
      </c>
    </row>
    <row r="55">
      <c r="A55" t="inlineStr">
        <is>
          <t>V1054</t>
        </is>
      </c>
      <c r="B55" t="inlineStr">
        <is>
          <t>Produto A</t>
        </is>
      </c>
      <c r="C55" t="inlineStr">
        <is>
          <t>Nordeste</t>
        </is>
      </c>
      <c r="D55" s="2" t="n">
        <v>2439.7</v>
      </c>
      <c r="E55" s="3" t="n">
        <v>45014</v>
      </c>
      <c r="F55" t="inlineStr">
        <is>
          <t>Eva Rocha</t>
        </is>
      </c>
      <c r="G55">
        <f>YEAR(E55)</f>
        <v/>
      </c>
      <c r="H55">
        <f>MONTH(E55)</f>
        <v/>
      </c>
    </row>
    <row r="56">
      <c r="A56" t="inlineStr">
        <is>
          <t>V1055</t>
        </is>
      </c>
      <c r="B56" t="inlineStr">
        <is>
          <t>Produto C</t>
        </is>
      </c>
      <c r="C56" t="inlineStr">
        <is>
          <t>Nordeste</t>
        </is>
      </c>
      <c r="D56" s="2" t="n">
        <v>3129.54</v>
      </c>
      <c r="E56" s="3" t="n">
        <v>45139</v>
      </c>
      <c r="F56" t="inlineStr">
        <is>
          <t>Diego Lima</t>
        </is>
      </c>
      <c r="G56">
        <f>YEAR(E56)</f>
        <v/>
      </c>
      <c r="H56">
        <f>MONTH(E56)</f>
        <v/>
      </c>
    </row>
    <row r="57">
      <c r="A57" t="inlineStr">
        <is>
          <t>V1056</t>
        </is>
      </c>
      <c r="B57" t="inlineStr">
        <is>
          <t>Produto B</t>
        </is>
      </c>
      <c r="C57" t="inlineStr">
        <is>
          <t>Sudeste</t>
        </is>
      </c>
      <c r="D57" s="2" t="n">
        <v>4126.37</v>
      </c>
      <c r="E57" s="3" t="n">
        <v>45234</v>
      </c>
      <c r="F57" t="inlineStr">
        <is>
          <t>Carla Dias</t>
        </is>
      </c>
      <c r="G57">
        <f>YEAR(E57)</f>
        <v/>
      </c>
      <c r="H57">
        <f>MONTH(E57)</f>
        <v/>
      </c>
    </row>
    <row r="58">
      <c r="A58" t="inlineStr">
        <is>
          <t>V1057</t>
        </is>
      </c>
      <c r="B58" t="inlineStr">
        <is>
          <t>Produto X</t>
        </is>
      </c>
      <c r="C58" t="inlineStr">
        <is>
          <t>Norte</t>
        </is>
      </c>
      <c r="D58" s="2" t="n">
        <v>4453.99</v>
      </c>
      <c r="E58" s="3" t="n">
        <v>44604</v>
      </c>
      <c r="F58" t="inlineStr">
        <is>
          <t>Diego Lima</t>
        </is>
      </c>
      <c r="G58">
        <f>YEAR(E58)</f>
        <v/>
      </c>
      <c r="H58">
        <f>MONTH(E58)</f>
        <v/>
      </c>
    </row>
    <row r="59">
      <c r="A59" t="inlineStr">
        <is>
          <t>V1058</t>
        </is>
      </c>
      <c r="B59" t="inlineStr">
        <is>
          <t>Produto B</t>
        </is>
      </c>
      <c r="C59" t="inlineStr">
        <is>
          <t>Centro-Oeste</t>
        </is>
      </c>
      <c r="D59" s="2" t="n">
        <v>1737.39</v>
      </c>
      <c r="E59" s="3" t="n">
        <v>45143</v>
      </c>
      <c r="F59" t="inlineStr">
        <is>
          <t>Diego Lima</t>
        </is>
      </c>
      <c r="G59">
        <f>YEAR(E59)</f>
        <v/>
      </c>
      <c r="H59">
        <f>MONTH(E59)</f>
        <v/>
      </c>
    </row>
    <row r="60">
      <c r="A60" t="inlineStr">
        <is>
          <t>V1059</t>
        </is>
      </c>
      <c r="B60" t="inlineStr">
        <is>
          <t>Produto A</t>
        </is>
      </c>
      <c r="C60" t="inlineStr">
        <is>
          <t>Nordeste</t>
        </is>
      </c>
      <c r="D60" s="2" t="n">
        <v>4340.32</v>
      </c>
      <c r="E60" s="3" t="n">
        <v>44748</v>
      </c>
      <c r="F60" t="inlineStr">
        <is>
          <t>Ana Silva</t>
        </is>
      </c>
      <c r="G60">
        <f>YEAR(E60)</f>
        <v/>
      </c>
      <c r="H60">
        <f>MONTH(E60)</f>
        <v/>
      </c>
    </row>
    <row r="61">
      <c r="A61" t="inlineStr">
        <is>
          <t>V1060</t>
        </is>
      </c>
      <c r="B61" t="inlineStr">
        <is>
          <t>Produto B</t>
        </is>
      </c>
      <c r="C61" t="inlineStr">
        <is>
          <t>Sudeste</t>
        </is>
      </c>
      <c r="D61" s="2" t="n">
        <v>3671.96</v>
      </c>
      <c r="E61" s="3" t="n">
        <v>44999</v>
      </c>
      <c r="F61" t="inlineStr">
        <is>
          <t>Diego Lima</t>
        </is>
      </c>
      <c r="G61">
        <f>YEAR(E61)</f>
        <v/>
      </c>
      <c r="H61">
        <f>MONTH(E61)</f>
        <v/>
      </c>
    </row>
    <row r="62">
      <c r="A62" t="inlineStr">
        <is>
          <t>V1061</t>
        </is>
      </c>
      <c r="B62" t="inlineStr">
        <is>
          <t>Produto X</t>
        </is>
      </c>
      <c r="C62" t="inlineStr">
        <is>
          <t>Nordeste</t>
        </is>
      </c>
      <c r="D62" s="2" t="n">
        <v>614.23</v>
      </c>
      <c r="E62" s="3" t="n">
        <v>45153</v>
      </c>
      <c r="F62" t="inlineStr">
        <is>
          <t>Diego Lima</t>
        </is>
      </c>
      <c r="G62">
        <f>YEAR(E62)</f>
        <v/>
      </c>
      <c r="H62">
        <f>MONTH(E62)</f>
        <v/>
      </c>
    </row>
    <row r="63">
      <c r="A63" t="inlineStr">
        <is>
          <t>V1062</t>
        </is>
      </c>
      <c r="B63" t="inlineStr">
        <is>
          <t>Produto C</t>
        </is>
      </c>
      <c r="C63" t="inlineStr">
        <is>
          <t>Norte</t>
        </is>
      </c>
      <c r="D63" s="2" t="n">
        <v>2729.63</v>
      </c>
      <c r="E63" s="3" t="n">
        <v>44826</v>
      </c>
      <c r="F63" t="inlineStr">
        <is>
          <t>Eva Rocha</t>
        </is>
      </c>
      <c r="G63">
        <f>YEAR(E63)</f>
        <v/>
      </c>
      <c r="H63">
        <f>MONTH(E63)</f>
        <v/>
      </c>
    </row>
    <row r="64">
      <c r="A64" t="inlineStr">
        <is>
          <t>V1063</t>
        </is>
      </c>
      <c r="B64" t="inlineStr">
        <is>
          <t>Produto C</t>
        </is>
      </c>
      <c r="C64" t="inlineStr">
        <is>
          <t>Nordeste</t>
        </is>
      </c>
      <c r="D64" s="2" t="n">
        <v>4786.71</v>
      </c>
      <c r="E64" s="3" t="n">
        <v>44670</v>
      </c>
      <c r="F64" t="inlineStr">
        <is>
          <t>Bruno Costa</t>
        </is>
      </c>
      <c r="G64">
        <f>YEAR(E64)</f>
        <v/>
      </c>
      <c r="H64">
        <f>MONTH(E64)</f>
        <v/>
      </c>
    </row>
    <row r="65">
      <c r="A65" t="inlineStr">
        <is>
          <t>V1064</t>
        </is>
      </c>
      <c r="B65" t="inlineStr">
        <is>
          <t>Produto C</t>
        </is>
      </c>
      <c r="C65" t="inlineStr">
        <is>
          <t>Sul</t>
        </is>
      </c>
      <c r="D65" s="2" t="n">
        <v>4351.2</v>
      </c>
      <c r="E65" s="3" t="n">
        <v>45263</v>
      </c>
      <c r="F65" t="inlineStr">
        <is>
          <t>Eva Rocha</t>
        </is>
      </c>
      <c r="G65">
        <f>YEAR(E65)</f>
        <v/>
      </c>
      <c r="H65">
        <f>MONTH(E65)</f>
        <v/>
      </c>
    </row>
    <row r="66">
      <c r="A66" t="inlineStr">
        <is>
          <t>V1065</t>
        </is>
      </c>
      <c r="B66" t="inlineStr">
        <is>
          <t>Produto A</t>
        </is>
      </c>
      <c r="C66" t="inlineStr">
        <is>
          <t>Centro-Oeste</t>
        </is>
      </c>
      <c r="D66" s="2" t="n">
        <v>609.88</v>
      </c>
      <c r="E66" s="3" t="n">
        <v>44986</v>
      </c>
      <c r="F66" t="inlineStr">
        <is>
          <t>Diego Lima</t>
        </is>
      </c>
      <c r="G66">
        <f>YEAR(E66)</f>
        <v/>
      </c>
      <c r="H66">
        <f>MONTH(E66)</f>
        <v/>
      </c>
    </row>
    <row r="67">
      <c r="A67" t="inlineStr">
        <is>
          <t>V1066</t>
        </is>
      </c>
      <c r="B67" t="inlineStr">
        <is>
          <t>Produto X</t>
        </is>
      </c>
      <c r="C67" t="inlineStr">
        <is>
          <t>Nordeste</t>
        </is>
      </c>
      <c r="D67" s="2" t="n">
        <v>3413.92</v>
      </c>
      <c r="E67" s="3" t="n">
        <v>45001</v>
      </c>
      <c r="F67" t="inlineStr">
        <is>
          <t>Diego Lima</t>
        </is>
      </c>
      <c r="G67">
        <f>YEAR(E67)</f>
        <v/>
      </c>
      <c r="H67">
        <f>MONTH(E67)</f>
        <v/>
      </c>
    </row>
    <row r="68">
      <c r="A68" t="inlineStr">
        <is>
          <t>V1067</t>
        </is>
      </c>
      <c r="B68" t="inlineStr">
        <is>
          <t>Produto X</t>
        </is>
      </c>
      <c r="C68" t="inlineStr">
        <is>
          <t>Sul</t>
        </is>
      </c>
      <c r="D68" s="2" t="n">
        <v>2357.72</v>
      </c>
      <c r="E68" s="3" t="n">
        <v>45047</v>
      </c>
      <c r="F68" t="inlineStr">
        <is>
          <t>Bruno Costa</t>
        </is>
      </c>
      <c r="G68">
        <f>YEAR(E68)</f>
        <v/>
      </c>
      <c r="H68">
        <f>MONTH(E68)</f>
        <v/>
      </c>
    </row>
    <row r="69">
      <c r="A69" t="inlineStr">
        <is>
          <t>V1068</t>
        </is>
      </c>
      <c r="B69" t="inlineStr">
        <is>
          <t>Produto A</t>
        </is>
      </c>
      <c r="C69" t="inlineStr">
        <is>
          <t>Centro-Oeste</t>
        </is>
      </c>
      <c r="D69" s="2" t="n">
        <v>2257.98</v>
      </c>
      <c r="E69" s="3" t="n">
        <v>45016</v>
      </c>
      <c r="F69" t="inlineStr">
        <is>
          <t>Bruno Costa</t>
        </is>
      </c>
      <c r="G69">
        <f>YEAR(E69)</f>
        <v/>
      </c>
      <c r="H69">
        <f>MONTH(E69)</f>
        <v/>
      </c>
    </row>
    <row r="70">
      <c r="A70" t="inlineStr">
        <is>
          <t>V1069</t>
        </is>
      </c>
      <c r="B70" t="inlineStr">
        <is>
          <t>Produto Y</t>
        </is>
      </c>
      <c r="C70" t="inlineStr">
        <is>
          <t>Centro-Oeste</t>
        </is>
      </c>
      <c r="D70" s="2" t="n">
        <v>1172.4</v>
      </c>
      <c r="E70" s="3" t="n">
        <v>45152</v>
      </c>
      <c r="F70" t="inlineStr">
        <is>
          <t>Ana Silva</t>
        </is>
      </c>
      <c r="G70">
        <f>YEAR(E70)</f>
        <v/>
      </c>
      <c r="H70">
        <f>MONTH(E70)</f>
        <v/>
      </c>
    </row>
    <row r="71">
      <c r="A71" t="inlineStr">
        <is>
          <t>V1070</t>
        </is>
      </c>
      <c r="B71" t="inlineStr">
        <is>
          <t>Produto B</t>
        </is>
      </c>
      <c r="C71" t="inlineStr">
        <is>
          <t>Centro-Oeste</t>
        </is>
      </c>
      <c r="D71" s="2" t="n">
        <v>1600.24</v>
      </c>
      <c r="E71" s="3" t="n">
        <v>45012</v>
      </c>
      <c r="F71" t="inlineStr">
        <is>
          <t>Bruno Costa</t>
        </is>
      </c>
      <c r="G71">
        <f>YEAR(E71)</f>
        <v/>
      </c>
      <c r="H71">
        <f>MONTH(E71)</f>
        <v/>
      </c>
    </row>
    <row r="72">
      <c r="A72" t="inlineStr">
        <is>
          <t>V1071</t>
        </is>
      </c>
      <c r="B72" t="inlineStr">
        <is>
          <t>Produto A</t>
        </is>
      </c>
      <c r="C72" t="inlineStr">
        <is>
          <t>Centro-Oeste</t>
        </is>
      </c>
      <c r="D72" s="2" t="n">
        <v>3496.76</v>
      </c>
      <c r="E72" s="3" t="n">
        <v>44859</v>
      </c>
      <c r="F72" t="inlineStr">
        <is>
          <t>Diego Lima</t>
        </is>
      </c>
      <c r="G72">
        <f>YEAR(E72)</f>
        <v/>
      </c>
      <c r="H72">
        <f>MONTH(E72)</f>
        <v/>
      </c>
    </row>
    <row r="73">
      <c r="A73" t="inlineStr">
        <is>
          <t>V1072</t>
        </is>
      </c>
      <c r="B73" t="inlineStr">
        <is>
          <t>Produto B</t>
        </is>
      </c>
      <c r="C73" t="inlineStr">
        <is>
          <t>Sudeste</t>
        </is>
      </c>
      <c r="D73" s="2" t="n">
        <v>1168.06</v>
      </c>
      <c r="E73" s="3" t="n">
        <v>45121</v>
      </c>
      <c r="F73" t="inlineStr">
        <is>
          <t>Carla Dias</t>
        </is>
      </c>
      <c r="G73">
        <f>YEAR(E73)</f>
        <v/>
      </c>
      <c r="H73">
        <f>MONTH(E73)</f>
        <v/>
      </c>
    </row>
    <row r="74">
      <c r="A74" t="inlineStr">
        <is>
          <t>V1073</t>
        </is>
      </c>
      <c r="B74" t="inlineStr">
        <is>
          <t>Produto B</t>
        </is>
      </c>
      <c r="C74" t="inlineStr">
        <is>
          <t>Nordeste</t>
        </is>
      </c>
      <c r="D74" s="2" t="n">
        <v>2510.83</v>
      </c>
      <c r="E74" s="3" t="n">
        <v>44813</v>
      </c>
      <c r="F74" t="inlineStr">
        <is>
          <t>Bruno Costa</t>
        </is>
      </c>
      <c r="G74">
        <f>YEAR(E74)</f>
        <v/>
      </c>
      <c r="H74">
        <f>MONTH(E74)</f>
        <v/>
      </c>
    </row>
    <row r="75">
      <c r="A75" t="inlineStr">
        <is>
          <t>V1074</t>
        </is>
      </c>
      <c r="B75" t="inlineStr">
        <is>
          <t>Produto C</t>
        </is>
      </c>
      <c r="C75" t="inlineStr">
        <is>
          <t>Norte</t>
        </is>
      </c>
      <c r="D75" s="2" t="n">
        <v>2977.08</v>
      </c>
      <c r="E75" s="3" t="n">
        <v>45085</v>
      </c>
      <c r="F75" t="inlineStr">
        <is>
          <t>Eva Rocha</t>
        </is>
      </c>
      <c r="G75">
        <f>YEAR(E75)</f>
        <v/>
      </c>
      <c r="H75">
        <f>MONTH(E75)</f>
        <v/>
      </c>
    </row>
    <row r="76">
      <c r="A76" t="inlineStr">
        <is>
          <t>V1075</t>
        </is>
      </c>
      <c r="B76" t="inlineStr">
        <is>
          <t>Produto B</t>
        </is>
      </c>
      <c r="C76" t="inlineStr">
        <is>
          <t>Sudeste</t>
        </is>
      </c>
      <c r="D76" s="2" t="n">
        <v>708.78</v>
      </c>
      <c r="E76" s="3" t="n">
        <v>44869</v>
      </c>
      <c r="F76" t="inlineStr">
        <is>
          <t>Bruno Costa</t>
        </is>
      </c>
      <c r="G76">
        <f>YEAR(E76)</f>
        <v/>
      </c>
      <c r="H76">
        <f>MONTH(E76)</f>
        <v/>
      </c>
    </row>
    <row r="77">
      <c r="A77" t="inlineStr">
        <is>
          <t>V1076</t>
        </is>
      </c>
      <c r="B77" t="inlineStr">
        <is>
          <t>Produto A</t>
        </is>
      </c>
      <c r="C77" t="inlineStr">
        <is>
          <t>Nordeste</t>
        </is>
      </c>
      <c r="D77" s="2" t="n">
        <v>4723.26</v>
      </c>
      <c r="E77" s="3" t="n">
        <v>44746</v>
      </c>
      <c r="F77" t="inlineStr">
        <is>
          <t>Bruno Costa</t>
        </is>
      </c>
      <c r="G77">
        <f>YEAR(E77)</f>
        <v/>
      </c>
      <c r="H77">
        <f>MONTH(E77)</f>
        <v/>
      </c>
    </row>
    <row r="78">
      <c r="A78" t="inlineStr">
        <is>
          <t>V1077</t>
        </is>
      </c>
      <c r="B78" t="inlineStr">
        <is>
          <t>Produto C</t>
        </is>
      </c>
      <c r="C78" t="inlineStr">
        <is>
          <t>Sudeste</t>
        </is>
      </c>
      <c r="D78" s="2" t="n">
        <v>1373.04</v>
      </c>
      <c r="E78" s="3" t="n">
        <v>44563</v>
      </c>
      <c r="F78" t="inlineStr">
        <is>
          <t>Diego Lima</t>
        </is>
      </c>
      <c r="G78">
        <f>YEAR(E78)</f>
        <v/>
      </c>
      <c r="H78">
        <f>MONTH(E78)</f>
        <v/>
      </c>
    </row>
    <row r="79">
      <c r="A79" t="inlineStr">
        <is>
          <t>V1078</t>
        </is>
      </c>
      <c r="B79" t="inlineStr">
        <is>
          <t>Produto Y</t>
        </is>
      </c>
      <c r="C79" t="inlineStr">
        <is>
          <t>Sul</t>
        </is>
      </c>
      <c r="D79" s="2" t="n">
        <v>3835.34</v>
      </c>
      <c r="E79" s="3" t="n">
        <v>44740</v>
      </c>
      <c r="F79" t="inlineStr">
        <is>
          <t>Diego Lima</t>
        </is>
      </c>
      <c r="G79">
        <f>YEAR(E79)</f>
        <v/>
      </c>
      <c r="H79">
        <f>MONTH(E79)</f>
        <v/>
      </c>
    </row>
    <row r="80">
      <c r="A80" t="inlineStr">
        <is>
          <t>V1079</t>
        </is>
      </c>
      <c r="B80" t="inlineStr">
        <is>
          <t>Produto B</t>
        </is>
      </c>
      <c r="C80" t="inlineStr">
        <is>
          <t>Centro-Oeste</t>
        </is>
      </c>
      <c r="D80" s="2" t="n">
        <v>3317.13</v>
      </c>
      <c r="E80" s="3" t="n">
        <v>45218</v>
      </c>
      <c r="F80" t="inlineStr">
        <is>
          <t>Bruno Costa</t>
        </is>
      </c>
      <c r="G80">
        <f>YEAR(E80)</f>
        <v/>
      </c>
      <c r="H80">
        <f>MONTH(E80)</f>
        <v/>
      </c>
    </row>
    <row r="81">
      <c r="A81" t="inlineStr">
        <is>
          <t>V1080</t>
        </is>
      </c>
      <c r="B81" t="inlineStr">
        <is>
          <t>Produto X</t>
        </is>
      </c>
      <c r="C81" t="inlineStr">
        <is>
          <t>Centro-Oeste</t>
        </is>
      </c>
      <c r="D81" s="2" t="n">
        <v>3600.66</v>
      </c>
      <c r="E81" s="3" t="n">
        <v>44903</v>
      </c>
      <c r="F81" t="inlineStr">
        <is>
          <t>Ana Silva</t>
        </is>
      </c>
      <c r="G81">
        <f>YEAR(E81)</f>
        <v/>
      </c>
      <c r="H81">
        <f>MONTH(E81)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</cols>
  <sheetData>
    <row r="1">
      <c r="A1" s="4" t="inlineStr">
        <is>
          <t>Chave</t>
        </is>
      </c>
      <c r="B1" s="4" t="inlineStr">
        <is>
          <t>Retorno</t>
        </is>
      </c>
    </row>
    <row r="2">
      <c r="A2" t="inlineStr">
        <is>
          <t>Produto X</t>
        </is>
      </c>
      <c r="B2" t="inlineStr">
        <is>
          <t>Descrição do Produto X</t>
        </is>
      </c>
    </row>
    <row r="3">
      <c r="A3" t="inlineStr">
        <is>
          <t>Produto A</t>
        </is>
      </c>
      <c r="B3" t="inlineStr">
        <is>
          <t>Descrição do Produto A</t>
        </is>
      </c>
    </row>
    <row r="4">
      <c r="A4" t="inlineStr">
        <is>
          <t>Produto B</t>
        </is>
      </c>
      <c r="B4" t="inlineStr">
        <is>
          <t>Descrição do Produto B</t>
        </is>
      </c>
    </row>
    <row r="5">
      <c r="A5" t="inlineStr">
        <is>
          <t>Produto C</t>
        </is>
      </c>
      <c r="B5" t="inlineStr">
        <is>
          <t>Descrição do Produto C</t>
        </is>
      </c>
    </row>
    <row r="6">
      <c r="A6" t="inlineStr">
        <is>
          <t>Produto Y</t>
        </is>
      </c>
      <c r="B6" t="inlineStr">
        <is>
          <t>Descrição do Produto 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1" customWidth="1" min="1" max="1"/>
    <col width="54" customWidth="1" min="2" max="2"/>
  </cols>
  <sheetData>
    <row r="1">
      <c r="A1" s="5" t="inlineStr">
        <is>
          <t>KPIs</t>
        </is>
      </c>
    </row>
    <row r="2">
      <c r="A2" t="inlineStr">
        <is>
          <t>Descrição</t>
        </is>
      </c>
      <c r="B2" t="inlineStr">
        <is>
          <t>Fórmula (usar no Excel/Sheets)</t>
        </is>
      </c>
    </row>
    <row r="3">
      <c r="A3" t="inlineStr">
        <is>
          <t>Receita Total</t>
        </is>
      </c>
      <c r="B3">
        <f>SUM(Vendas!D2:D81)</f>
        <v/>
      </c>
    </row>
    <row r="4">
      <c r="A4" t="inlineStr">
        <is>
          <t>Valor Médio por Venda</t>
        </is>
      </c>
      <c r="B4">
        <f>AVERAGE(Vendas!D2:D81)</f>
        <v/>
      </c>
    </row>
    <row r="5">
      <c r="A5" t="inlineStr">
        <is>
          <t>Número de Vendas</t>
        </is>
      </c>
      <c r="B5">
        <f>COUNTA(Vendas!A2:A81)</f>
        <v/>
      </c>
    </row>
    <row r="6">
      <c r="A6" t="inlineStr">
        <is>
          <t>Maior Venda</t>
        </is>
      </c>
      <c r="B6">
        <f>MAX(Vendas!D2:D81)</f>
        <v/>
      </c>
    </row>
    <row r="7">
      <c r="A7" t="inlineStr">
        <is>
          <t>Menor Venda</t>
        </is>
      </c>
      <c r="B7">
        <f>MIN(Vendas!D2:D81)</f>
        <v/>
      </c>
    </row>
    <row r="8"/>
    <row r="9">
      <c r="A9" s="5" t="inlineStr">
        <is>
          <t>Totais por Região</t>
        </is>
      </c>
    </row>
    <row r="10">
      <c r="A10" t="inlineStr">
        <is>
          <t>Região</t>
        </is>
      </c>
      <c r="B10" t="inlineStr">
        <is>
          <t>Receita</t>
        </is>
      </c>
    </row>
    <row r="11">
      <c r="A11" t="inlineStr">
        <is>
          <t>Nordeste</t>
        </is>
      </c>
      <c r="B11">
        <f>SUMIF(Vendas!C2:C81, "Nordeste", Vendas!D2:D81)</f>
        <v/>
      </c>
    </row>
    <row r="12">
      <c r="A12" t="inlineStr">
        <is>
          <t>Sudeste</t>
        </is>
      </c>
      <c r="B12">
        <f>SUMIF(Vendas!C2:C81, "Sudeste", Vendas!D2:D81)</f>
        <v/>
      </c>
    </row>
    <row r="13">
      <c r="A13" t="inlineStr">
        <is>
          <t>Sul</t>
        </is>
      </c>
      <c r="B13">
        <f>SUMIF(Vendas!C2:C81, "Sul", Vendas!D2:D81)</f>
        <v/>
      </c>
    </row>
    <row r="14">
      <c r="A14" t="inlineStr">
        <is>
          <t>Norte</t>
        </is>
      </c>
      <c r="B14">
        <f>SUMIF(Vendas!C2:C81, "Norte", Vendas!D2:D81)</f>
        <v/>
      </c>
    </row>
    <row r="15">
      <c r="A15" t="inlineStr">
        <is>
          <t>Centro-Oeste</t>
        </is>
      </c>
      <c r="B15">
        <f>SUMIF(Vendas!C2:C81, "Centro-Oeste", Vendas!D2:D81)</f>
        <v/>
      </c>
    </row>
    <row r="16"/>
    <row r="17">
      <c r="A17" s="5" t="inlineStr">
        <is>
          <t>Totais por Produto</t>
        </is>
      </c>
    </row>
    <row r="18">
      <c r="A18" t="inlineStr">
        <is>
          <t>Produto</t>
        </is>
      </c>
      <c r="B18" t="inlineStr">
        <is>
          <t>Receita</t>
        </is>
      </c>
    </row>
    <row r="19">
      <c r="A19" t="inlineStr">
        <is>
          <t>Produto A</t>
        </is>
      </c>
      <c r="B19">
        <f>SUMIF(Vendas!B2:B81, "Produto A", Vendas!D2:D81)</f>
        <v/>
      </c>
    </row>
    <row r="20">
      <c r="A20" t="inlineStr">
        <is>
          <t>Produto B</t>
        </is>
      </c>
      <c r="B20">
        <f>SUMIF(Vendas!B2:B81, "Produto B", Vendas!D2:D81)</f>
        <v/>
      </c>
    </row>
    <row r="21">
      <c r="A21" t="inlineStr">
        <is>
          <t>Produto C</t>
        </is>
      </c>
      <c r="B21">
        <f>SUMIF(Vendas!B2:B81, "Produto C", Vendas!D2:D81)</f>
        <v/>
      </c>
    </row>
    <row r="22">
      <c r="A22" t="inlineStr">
        <is>
          <t>Produto X</t>
        </is>
      </c>
      <c r="B22">
        <f>SUMIF(Vendas!B2:B81, "Produto X", Vendas!D2:D81)</f>
        <v/>
      </c>
    </row>
    <row r="23">
      <c r="A23" t="inlineStr">
        <is>
          <t>Produto Y</t>
        </is>
      </c>
      <c r="B23">
        <f>SUMIF(Vendas!B2:B81, "Produto Y", Vendas!D2:D81)</f>
        <v/>
      </c>
    </row>
    <row r="24"/>
    <row r="25">
      <c r="A25" s="5" t="inlineStr">
        <is>
          <t>Totais por Mês (nº do mês)</t>
        </is>
      </c>
    </row>
    <row r="26">
      <c r="A26" t="inlineStr">
        <is>
          <t>Mês</t>
        </is>
      </c>
      <c r="B26" t="inlineStr">
        <is>
          <t>Receita</t>
        </is>
      </c>
    </row>
    <row r="27">
      <c r="A27" t="n">
        <v>1</v>
      </c>
      <c r="B27">
        <f>SUMIF(Vendas!H2:H81, 1, Vendas!D2:D81)</f>
        <v/>
      </c>
    </row>
    <row r="28">
      <c r="A28" t="n">
        <v>2</v>
      </c>
      <c r="B28">
        <f>SUMIF(Vendas!H2:H81, 2, Vendas!D2:D81)</f>
        <v/>
      </c>
    </row>
    <row r="29">
      <c r="A29" t="n">
        <v>3</v>
      </c>
      <c r="B29">
        <f>SUMIF(Vendas!H2:H81, 3, Vendas!D2:D81)</f>
        <v/>
      </c>
    </row>
    <row r="30">
      <c r="A30" t="n">
        <v>4</v>
      </c>
      <c r="B30">
        <f>SUMIF(Vendas!H2:H81, 4, Vendas!D2:D81)</f>
        <v/>
      </c>
    </row>
    <row r="31">
      <c r="A31" t="n">
        <v>5</v>
      </c>
      <c r="B31">
        <f>SUMIF(Vendas!H2:H81, 5, Vendas!D2:D81)</f>
        <v/>
      </c>
    </row>
    <row r="32">
      <c r="A32" t="n">
        <v>6</v>
      </c>
      <c r="B32">
        <f>SUMIF(Vendas!H2:H81, 6, Vendas!D2:D81)</f>
        <v/>
      </c>
    </row>
    <row r="33">
      <c r="A33" t="n">
        <v>7</v>
      </c>
      <c r="B33">
        <f>SUMIF(Vendas!H2:H81, 7, Vendas!D2:D81)</f>
        <v/>
      </c>
    </row>
    <row r="34">
      <c r="A34" t="n">
        <v>8</v>
      </c>
      <c r="B34">
        <f>SUMIF(Vendas!H2:H81, 8, Vendas!D2:D81)</f>
        <v/>
      </c>
    </row>
    <row r="35">
      <c r="A35" t="n">
        <v>9</v>
      </c>
      <c r="B35">
        <f>SUMIF(Vendas!H2:H81, 9, Vendas!D2:D81)</f>
        <v/>
      </c>
    </row>
    <row r="36">
      <c r="A36" t="n">
        <v>10</v>
      </c>
      <c r="B36">
        <f>SUMIF(Vendas!H2:H81, 10, Vendas!D2:D81)</f>
        <v/>
      </c>
    </row>
    <row r="37">
      <c r="A37" t="n">
        <v>11</v>
      </c>
      <c r="B37">
        <f>SUMIF(Vendas!H2:H81, 11, Vendas!D2:D81)</f>
        <v/>
      </c>
    </row>
    <row r="38">
      <c r="A38" t="n">
        <v>12</v>
      </c>
      <c r="B38">
        <f>SUMIF(Vendas!H2:H81, 12, Vendas!D2:D81)</f>
        <v/>
      </c>
    </row>
    <row r="39"/>
    <row r="40">
      <c r="A40" s="5" t="inlineStr">
        <is>
          <t>Totais por Vendedor</t>
        </is>
      </c>
    </row>
    <row r="41">
      <c r="A41" t="inlineStr">
        <is>
          <t>Vendedor</t>
        </is>
      </c>
      <c r="B41" t="inlineStr">
        <is>
          <t>Receita</t>
        </is>
      </c>
    </row>
    <row r="42">
      <c r="A42" t="inlineStr">
        <is>
          <t>Ana Silva</t>
        </is>
      </c>
      <c r="B42">
        <f>SUMIF(Vendas!F2:F81, "Ana Silva", Vendas!D2:D81)</f>
        <v/>
      </c>
    </row>
    <row r="43">
      <c r="A43" t="inlineStr">
        <is>
          <t>Bruno Costa</t>
        </is>
      </c>
      <c r="B43">
        <f>SUMIF(Vendas!F2:F81, "Bruno Costa", Vendas!D2:D81)</f>
        <v/>
      </c>
    </row>
    <row r="44">
      <c r="A44" t="inlineStr">
        <is>
          <t>Carla Dias</t>
        </is>
      </c>
      <c r="B44">
        <f>SUMIF(Vendas!F2:F81, "Carla Dias", Vendas!D2:D81)</f>
        <v/>
      </c>
    </row>
    <row r="45">
      <c r="A45" t="inlineStr">
        <is>
          <t>Diego Lima</t>
        </is>
      </c>
      <c r="B45">
        <f>SUMIF(Vendas!F2:F81, "Diego Lima", Vendas!D2:D81)</f>
        <v/>
      </c>
    </row>
    <row r="46">
      <c r="A46" t="inlineStr">
        <is>
          <t>Eva Rocha</t>
        </is>
      </c>
      <c r="B46">
        <f>SUMIF(Vendas!F2:F81, "Eva Rocha", Vendas!D2:D81)</f>
        <v/>
      </c>
    </row>
    <row r="47"/>
    <row r="48"/>
    <row r="49">
      <c r="A49" t="inlineStr">
        <is>
          <t>Produto (para ranking)</t>
        </is>
      </c>
      <c r="B49" t="inlineStr">
        <is>
          <t>Receita</t>
        </is>
      </c>
    </row>
    <row r="50">
      <c r="A50" t="inlineStr">
        <is>
          <t>Produto A</t>
        </is>
      </c>
      <c r="B50">
        <f>SUMIF(Vendas!B2:B81, A50, Vendas!D2:D81)</f>
        <v/>
      </c>
    </row>
    <row r="51">
      <c r="A51" t="inlineStr">
        <is>
          <t>Produto B</t>
        </is>
      </c>
      <c r="B51">
        <f>SUMIF(Vendas!B2:B81, A51, Vendas!D2:D81)</f>
        <v/>
      </c>
    </row>
    <row r="52">
      <c r="A52" t="inlineStr">
        <is>
          <t>Produto C</t>
        </is>
      </c>
      <c r="B52">
        <f>SUMIF(Vendas!B2:B81, A52, Vendas!D2:D81)</f>
        <v/>
      </c>
    </row>
    <row r="53">
      <c r="A53" t="inlineStr">
        <is>
          <t>Produto X</t>
        </is>
      </c>
      <c r="B53">
        <f>SUMIF(Vendas!B2:B81, A53, Vendas!D2:D81)</f>
        <v/>
      </c>
    </row>
    <row r="54">
      <c r="A54" t="inlineStr">
        <is>
          <t>Produto Y</t>
        </is>
      </c>
      <c r="B54">
        <f>SUMIF(Vendas!B2:B81, A54, Vendas!D2:D81)</f>
        <v/>
      </c>
    </row>
    <row r="55">
      <c r="A55" t="inlineStr">
        <is>
          <t>Produto com maior receita (INDEX/MATCH)</t>
        </is>
      </c>
      <c r="B55">
        <f>INDEX(A50:A54, MATCH(MAX(B50:B54), B50:B54, 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75" customWidth="1" min="1" max="1"/>
    <col width="114" customWidth="1" min="2" max="2"/>
    <col width="114" customWidth="1" min="3" max="3"/>
  </cols>
  <sheetData>
    <row r="1">
      <c r="A1" s="6" t="inlineStr">
        <is>
          <t>Descrição</t>
        </is>
      </c>
      <c r="B1" s="6" t="inlineStr">
        <is>
          <t>Fórmula (em inglês para Google Sheets)</t>
        </is>
      </c>
      <c r="C1" s="6" t="inlineStr">
        <is>
          <t>Resultado (será calculado no Sheets)</t>
        </is>
      </c>
    </row>
    <row r="2">
      <c r="A2" t="inlineStr">
        <is>
          <t>Somatório Condicional (Nordeste)</t>
        </is>
      </c>
      <c r="B2">
        <f>SUMIF(Vendas!C2:C81, "Nordeste", Vendas!D2:D81)</f>
        <v/>
      </c>
      <c r="C2">
        <f>SUMIF(Vendas!C2:C81, "Nordeste", Vendas!D2:D81)</f>
        <v/>
      </c>
    </row>
    <row r="3">
      <c r="A3" t="inlineStr">
        <is>
          <t>Somatório Condicional com múltiplos critérios (Produto X, Região Sudeste)</t>
        </is>
      </c>
      <c r="B3">
        <f>SUMIFS(Vendas!D2:D81, Vendas!B2:B81, "Produto X", Vendas!C2:C81, "Sudeste")</f>
        <v/>
      </c>
      <c r="C3">
        <f>SUMIFS(Vendas!D2:D81, Vendas!B2:B81, "Produto X", Vendas!C2:C81, "Sudeste")</f>
        <v/>
      </c>
    </row>
    <row r="4">
      <c r="A4" t="inlineStr">
        <is>
          <t>PROCV — buscar Nome_Vendedor a partir de ID_Venda (VLOOKUP exemplo)</t>
        </is>
      </c>
      <c r="B4">
        <f>VLOOKUP("V1001", Vendas!A2:F81, 6, FALSE)</f>
        <v/>
      </c>
      <c r="C4">
        <f>VLOOKUP("V1001", Vendas!A2:F81, 6, FALSE)</f>
        <v/>
      </c>
    </row>
    <row r="5">
      <c r="A5" t="inlineStr">
        <is>
          <t>PROCX equivalente — INDEX/MATCH para descrição do produto</t>
        </is>
      </c>
      <c r="B5">
        <f>INDEX(Lookup!B2:B6, MATCH("Produto X", Lookup!A2:A6, 0))</f>
        <v/>
      </c>
      <c r="C5">
        <f>INDEX(Lookup!B2:B6, MATCH("Produto X", Lookup!A2:A6, 0))</f>
        <v/>
      </c>
    </row>
    <row r="6">
      <c r="A6" t="inlineStr">
        <is>
          <t>Ano da venda (coluna E)</t>
        </is>
      </c>
      <c r="B6">
        <f>YEAR(Vendas!E2)</f>
        <v/>
      </c>
      <c r="C6">
        <f>YEAR(Vendas!E2)</f>
        <v/>
      </c>
    </row>
    <row r="7">
      <c r="A7" t="inlineStr">
        <is>
          <t>Mês da venda (coluna E)</t>
        </is>
      </c>
      <c r="B7">
        <f>MONTH(Vendas!E2)</f>
        <v/>
      </c>
      <c r="C7">
        <f>MONTH(Vendas!E2)</f>
        <v/>
      </c>
    </row>
    <row r="8">
      <c r="A8" t="inlineStr">
        <is>
          <t>Dia da venda (coluna E)</t>
        </is>
      </c>
      <c r="B8">
        <f>DAY(Vendas!E2)</f>
        <v/>
      </c>
      <c r="C8">
        <f>DAY(Vendas!E2)</f>
        <v/>
      </c>
    </row>
    <row r="9">
      <c r="A9" t="inlineStr">
        <is>
          <t>Desafio — Soma Produto X entre 01/01/2023 e 31/12/2023</t>
        </is>
      </c>
      <c r="B9">
        <f>SUMIFS(Vendas!D2:D81, Vendas!B2:B81, "Produto X", Vendas!E2:E81, "&gt;=2023-01-01", Vendas!E2:E81, "&lt;=2023-12-31")</f>
        <v/>
      </c>
      <c r="C9">
        <f>SUMIFS(Vendas!D2:D81, Vendas!B2:B81, "Produto X", Vendas!E2:E81, "&gt;=2023-01-01", Vendas!E2:E81, "&lt;=2023-12-31")</f>
        <v/>
      </c>
    </row>
    <row r="10">
      <c r="A10" t="inlineStr">
        <is>
          <t>Produto com maior receita (INDEX/MATCH a partir da tabela acima)</t>
        </is>
      </c>
      <c r="B10">
        <f>INDEX(Análise!A50:A54, MATCH(MAX(Análise!B50:B54), Análise!B50:B54, 0))</f>
        <v/>
      </c>
      <c r="C10">
        <f>INDEX(Análise!A50:A54, MATCH(MAX(Análise!B50:B54), Análise!B50:B54, 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2025-10-21T13:57:29Z</dcterms:created>
  <dcterms:modified xmlns:dcterms="http://purl.org/dc/terms/" xmlns:xsi="http://www.w3.org/2001/XMLSchema-instance" xsi:type="dcterms:W3CDTF">2025-10-21T13:57:29Z</dcterms:modified>
</cp:coreProperties>
</file>